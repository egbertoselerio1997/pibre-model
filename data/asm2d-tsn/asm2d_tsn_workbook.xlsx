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ichiometric_matrix" sheetId="1" state="visible" r:id="rId1"/>
    <sheet name="composition_matrix" sheetId="2" state="visible" r:id="rId2"/>
    <sheet name="parameter_table" sheetId="3" state="visible" r:id="rId3"/>
  </sheets>
  <definedNames>
    <definedName name="_xlnm._FilterDatabase" localSheetId="0" hidden="1">'stoichiometric_matrix'!$A$1:$V$29</definedName>
    <definedName name="_xlnm._FilterDatabase" localSheetId="1" hidden="1">'composition_matrix'!$A$1:$H$21</definedName>
    <definedName name="_xlnm._FilterDatabase" localSheetId="2" hidden="1">'parameter_table'!$A$1:$F$82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  <color rgb="0022303C"/>
    </font>
  </fonts>
  <fills count="4">
    <fill>
      <patternFill/>
    </fill>
    <fill>
      <patternFill patternType="gray125"/>
    </fill>
    <fill>
      <patternFill patternType="solid">
        <fgColor rgb="00D8DEE6"/>
      </patternFill>
    </fill>
    <fill>
      <patternFill patternType="solid">
        <fgColor rgb="00EE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7" customWidth="1" min="2" max="2"/>
    <col width="48" customWidth="1" min="3" max="3"/>
    <col width="28" customWidth="1" min="4" max="4"/>
    <col width="2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25" customWidth="1" min="11" max="11"/>
    <col width="30" customWidth="1" min="12" max="12"/>
    <col width="25" customWidth="1" min="13" max="13"/>
    <col width="27" customWidth="1" min="14" max="14"/>
    <col width="12" customWidth="1" min="15" max="15"/>
    <col width="12" customWidth="1" min="16" max="16"/>
    <col width="26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process_index</t>
        </is>
      </c>
      <c r="B1" s="1" t="inlineStr">
        <is>
          <t>process</t>
        </is>
      </c>
      <c r="C1" s="1" t="inlineStr">
        <is>
          <t>S_O</t>
        </is>
      </c>
      <c r="D1" s="1" t="inlineStr">
        <is>
          <t>S_F</t>
        </is>
      </c>
      <c r="E1" s="1" t="inlineStr">
        <is>
          <t>S_A</t>
        </is>
      </c>
      <c r="F1" s="1" t="inlineStr">
        <is>
          <t>S_NH4</t>
        </is>
      </c>
      <c r="G1" s="1" t="inlineStr">
        <is>
          <t>S_NO2</t>
        </is>
      </c>
      <c r="H1" s="1" t="inlineStr">
        <is>
          <t>S_NO3</t>
        </is>
      </c>
      <c r="I1" s="1" t="inlineStr">
        <is>
          <t>S_N2</t>
        </is>
      </c>
      <c r="J1" s="1" t="inlineStr">
        <is>
          <t>S_PO4</t>
        </is>
      </c>
      <c r="K1" s="1" t="inlineStr">
        <is>
          <t>S_I</t>
        </is>
      </c>
      <c r="L1" s="1" t="inlineStr">
        <is>
          <t>S_ALK</t>
        </is>
      </c>
      <c r="M1" s="1" t="inlineStr">
        <is>
          <t>X_I</t>
        </is>
      </c>
      <c r="N1" s="1" t="inlineStr">
        <is>
          <t>X_S</t>
        </is>
      </c>
      <c r="O1" s="1" t="inlineStr">
        <is>
          <t>X_H</t>
        </is>
      </c>
      <c r="P1" s="1" t="inlineStr">
        <is>
          <t>X_PAO</t>
        </is>
      </c>
      <c r="Q1" s="1" t="inlineStr">
        <is>
          <t>X_PP</t>
        </is>
      </c>
      <c r="R1" s="1" t="inlineStr">
        <is>
          <t>X_PHA</t>
        </is>
      </c>
      <c r="S1" s="1" t="inlineStr">
        <is>
          <t>X_AOB</t>
        </is>
      </c>
      <c r="T1" s="1" t="inlineStr">
        <is>
          <t>X_NOB</t>
        </is>
      </c>
      <c r="U1" s="1" t="inlineStr">
        <is>
          <t>X_MeP</t>
        </is>
      </c>
      <c r="V1" s="1" t="inlineStr">
        <is>
          <t>X_MeOH</t>
        </is>
      </c>
    </row>
    <row r="2">
      <c r="A2" t="n">
        <v>1</v>
      </c>
      <c r="B2" t="inlineStr">
        <is>
          <t>Aerobic hydrolysis</t>
        </is>
      </c>
      <c r="D2">
        <f>1-'parameter_table'!$E$8</f>
        <v/>
      </c>
      <c r="F2">
        <f>-(D2*('parameter_table'!$E$11)+K2*('parameter_table'!$E$10)+I2+G2+H2+M2*('parameter_table'!$E$12)+N2*('parameter_table'!$E$13)+O2*('parameter_table'!$E$14)+P2*('parameter_table'!$E$14)+S2*('parameter_table'!$E$14)+T2*('parameter_table'!$E$14))</f>
        <v/>
      </c>
      <c r="J2">
        <f>-(D2*('parameter_table'!$E$16)+K2*('parameter_table'!$E$15)+M2*('parameter_table'!$E$17)+N2*('parameter_table'!$E$18)+O2*('parameter_table'!$E$19)+P2*('parameter_table'!$E$19)+Q2+S2*('parameter_table'!$E$19)+T2*('parameter_table'!$E$19)+U2*('parameter_table'!$E$25))</f>
        <v/>
      </c>
      <c r="K2">
        <f>'parameter_table'!$E$8</f>
        <v/>
      </c>
      <c r="L2">
        <f>F2/14-G2/14-H2/14+J2/31</f>
        <v/>
      </c>
      <c r="N2">
        <f>-1</f>
        <v/>
      </c>
    </row>
    <row r="3">
      <c r="A3" t="n">
        <v>2</v>
      </c>
      <c r="B3" t="inlineStr">
        <is>
          <t>Anoxic hydrolysis (NO2)</t>
        </is>
      </c>
      <c r="D3">
        <f>1-'parameter_table'!$E$8</f>
        <v/>
      </c>
      <c r="F3">
        <f>-(D3*('parameter_table'!$E$11)+K3*('parameter_table'!$E$10)+I3+G3+H3+M3*('parameter_table'!$E$12)+N3*('parameter_table'!$E$13)+O3*('parameter_table'!$E$14)+P3*('parameter_table'!$E$14)+S3*('parameter_table'!$E$14)+T3*('parameter_table'!$E$14))</f>
        <v/>
      </c>
      <c r="J3">
        <f>-(D3*('parameter_table'!$E$16)+K3*('parameter_table'!$E$15)+M3*('parameter_table'!$E$17)+N3*('parameter_table'!$E$18)+O3*('parameter_table'!$E$19)+P3*('parameter_table'!$E$19)+Q3+S3*('parameter_table'!$E$19)+T3*('parameter_table'!$E$19)+U3*('parameter_table'!$E$25))</f>
        <v/>
      </c>
      <c r="K3">
        <f>'parameter_table'!$E$8</f>
        <v/>
      </c>
      <c r="L3">
        <f>F3/14-G3/14-H3/14+J3/31</f>
        <v/>
      </c>
      <c r="N3">
        <f>-1</f>
        <v/>
      </c>
    </row>
    <row r="4">
      <c r="A4" t="n">
        <v>3</v>
      </c>
      <c r="B4" t="inlineStr">
        <is>
          <t>Anoxic hydrolysis (NO3)</t>
        </is>
      </c>
      <c r="D4">
        <f>1-'parameter_table'!$E$8</f>
        <v/>
      </c>
      <c r="F4">
        <f>-(D4*('parameter_table'!$E$11)+K4*('parameter_table'!$E$10)+I4+G4+H4+M4*('parameter_table'!$E$12)+N4*('parameter_table'!$E$13)+O4*('parameter_table'!$E$14)+P4*('parameter_table'!$E$14)+S4*('parameter_table'!$E$14)+T4*('parameter_table'!$E$14))</f>
        <v/>
      </c>
      <c r="J4">
        <f>-(D4*('parameter_table'!$E$16)+K4*('parameter_table'!$E$15)+M4*('parameter_table'!$E$17)+N4*('parameter_table'!$E$18)+O4*('parameter_table'!$E$19)+P4*('parameter_table'!$E$19)+Q4+S4*('parameter_table'!$E$19)+T4*('parameter_table'!$E$19)+U4*('parameter_table'!$E$25))</f>
        <v/>
      </c>
      <c r="K4">
        <f>'parameter_table'!$E$8</f>
        <v/>
      </c>
      <c r="L4">
        <f>F4/14-G4/14-H4/14+J4/31</f>
        <v/>
      </c>
      <c r="N4">
        <f>-1</f>
        <v/>
      </c>
    </row>
    <row r="5">
      <c r="A5" t="n">
        <v>4</v>
      </c>
      <c r="B5" t="inlineStr">
        <is>
          <t>Anaerobic hydrolysis</t>
        </is>
      </c>
      <c r="D5">
        <f>1-'parameter_table'!$E$8</f>
        <v/>
      </c>
      <c r="F5">
        <f>-(D5*('parameter_table'!$E$11)+K5*('parameter_table'!$E$10)+I5+G5+H5+M5*('parameter_table'!$E$12)+N5*('parameter_table'!$E$13)+O5*('parameter_table'!$E$14)+P5*('parameter_table'!$E$14)+S5*('parameter_table'!$E$14)+T5*('parameter_table'!$E$14))</f>
        <v/>
      </c>
      <c r="J5">
        <f>-(D5*('parameter_table'!$E$16)+K5*('parameter_table'!$E$15)+M5*('parameter_table'!$E$17)+N5*('parameter_table'!$E$18)+O5*('parameter_table'!$E$19)+P5*('parameter_table'!$E$19)+Q5+S5*('parameter_table'!$E$19)+T5*('parameter_table'!$E$19)+U5*('parameter_table'!$E$25))</f>
        <v/>
      </c>
      <c r="K5">
        <f>'parameter_table'!$E$8</f>
        <v/>
      </c>
      <c r="L5">
        <f>F5/14-G5/14-H5/14+J5/31</f>
        <v/>
      </c>
      <c r="N5">
        <f>-1</f>
        <v/>
      </c>
    </row>
    <row r="6">
      <c r="A6" t="n">
        <v>5</v>
      </c>
      <c r="B6" t="inlineStr">
        <is>
          <t>Aerobic growth on S_F</t>
        </is>
      </c>
      <c r="C6">
        <f>1-1/'parameter_table'!$E$2</f>
        <v/>
      </c>
      <c r="D6">
        <f>-1/'parameter_table'!$E$2</f>
        <v/>
      </c>
      <c r="F6">
        <f>-(D6*('parameter_table'!$E$11)+K6*('parameter_table'!$E$10)+I6+G6+H6+M6*('parameter_table'!$E$12)+N6*('parameter_table'!$E$13)+O6*('parameter_table'!$E$14)+P6*('parameter_table'!$E$14)+S6*('parameter_table'!$E$14)+T6*('parameter_table'!$E$14))</f>
        <v/>
      </c>
      <c r="J6">
        <f>-(D6*('parameter_table'!$E$16)+K6*('parameter_table'!$E$15)+M6*('parameter_table'!$E$17)+N6*('parameter_table'!$E$18)+O6*('parameter_table'!$E$19)+P6*('parameter_table'!$E$19)+Q6+S6*('parameter_table'!$E$19)+T6*('parameter_table'!$E$19)+U6*('parameter_table'!$E$25))</f>
        <v/>
      </c>
      <c r="L6">
        <f>F6/14-G6/14-H6/14+J6/31</f>
        <v/>
      </c>
      <c r="O6">
        <f>1</f>
        <v/>
      </c>
    </row>
    <row r="7">
      <c r="A7" t="n">
        <v>6</v>
      </c>
      <c r="B7" t="inlineStr">
        <is>
          <t>Aerobic growth on S_A</t>
        </is>
      </c>
      <c r="C7">
        <f>1-1/'parameter_table'!$E$2</f>
        <v/>
      </c>
      <c r="E7">
        <f>-1/'parameter_table'!$E$2</f>
        <v/>
      </c>
      <c r="F7">
        <f>-(D7*('parameter_table'!$E$11)+K7*('parameter_table'!$E$10)+I7+G7+H7+M7*('parameter_table'!$E$12)+N7*('parameter_table'!$E$13)+O7*('parameter_table'!$E$14)+P7*('parameter_table'!$E$14)+S7*('parameter_table'!$E$14)+T7*('parameter_table'!$E$14))</f>
        <v/>
      </c>
      <c r="J7">
        <f>-(D7*('parameter_table'!$E$16)+K7*('parameter_table'!$E$15)+M7*('parameter_table'!$E$17)+N7*('parameter_table'!$E$18)+O7*('parameter_table'!$E$19)+P7*('parameter_table'!$E$19)+Q7+S7*('parameter_table'!$E$19)+T7*('parameter_table'!$E$19)+U7*('parameter_table'!$E$25))</f>
        <v/>
      </c>
      <c r="L7">
        <f>F7/14-G7/14-H7/14+J7/31</f>
        <v/>
      </c>
      <c r="O7">
        <f>1</f>
        <v/>
      </c>
    </row>
    <row r="8">
      <c r="A8" t="n">
        <v>7</v>
      </c>
      <c r="B8" t="inlineStr">
        <is>
          <t>Anoxic growth on S_F (NO3 -&gt; NO2)</t>
        </is>
      </c>
      <c r="D8">
        <f>-1/'parameter_table'!$E$2</f>
        <v/>
      </c>
      <c r="F8">
        <f>-(D8*('parameter_table'!$E$11)+K8*('parameter_table'!$E$10)+I8+G8+H8+M8*('parameter_table'!$E$12)+N8*('parameter_table'!$E$13)+O8*('parameter_table'!$E$14)+P8*('parameter_table'!$E$14)+S8*('parameter_table'!$E$14)+T8*('parameter_table'!$E$14))</f>
        <v/>
      </c>
      <c r="G8">
        <f>(1-'parameter_table'!$E$2)/((8/7)*'parameter_table'!$E$2)</f>
        <v/>
      </c>
      <c r="H8">
        <f>-((1-'parameter_table'!$E$2)/((8/7)*'parameter_table'!$E$2))</f>
        <v/>
      </c>
      <c r="J8">
        <f>-(D8*('parameter_table'!$E$16)+K8*('parameter_table'!$E$15)+M8*('parameter_table'!$E$17)+N8*('parameter_table'!$E$18)+O8*('parameter_table'!$E$19)+P8*('parameter_table'!$E$19)+Q8+S8*('parameter_table'!$E$19)+T8*('parameter_table'!$E$19)+U8*('parameter_table'!$E$25))</f>
        <v/>
      </c>
      <c r="L8">
        <f>F8/14-G8/14-H8/14+J8/31</f>
        <v/>
      </c>
      <c r="O8">
        <f>1</f>
        <v/>
      </c>
    </row>
    <row r="9">
      <c r="A9" t="n">
        <v>8</v>
      </c>
      <c r="B9" t="inlineStr">
        <is>
          <t>Anoxic growth on S_F (NO2 -&gt; N2)</t>
        </is>
      </c>
      <c r="D9">
        <f>-1/'parameter_table'!$E$2</f>
        <v/>
      </c>
      <c r="F9">
        <f>-(D9*('parameter_table'!$E$11)+K9*('parameter_table'!$E$10)+I9+G9+H9+M9*('parameter_table'!$E$12)+N9*('parameter_table'!$E$13)+O9*('parameter_table'!$E$14)+P9*('parameter_table'!$E$14)+S9*('parameter_table'!$E$14)+T9*('parameter_table'!$E$14))</f>
        <v/>
      </c>
      <c r="G9">
        <f>-((1-'parameter_table'!$E$2)/(1.72*'parameter_table'!$E$2))</f>
        <v/>
      </c>
      <c r="I9">
        <f>(1-'parameter_table'!$E$2)/(1.72*'parameter_table'!$E$2)</f>
        <v/>
      </c>
      <c r="J9">
        <f>-(D9*('parameter_table'!$E$16)+K9*('parameter_table'!$E$15)+M9*('parameter_table'!$E$17)+N9*('parameter_table'!$E$18)+O9*('parameter_table'!$E$19)+P9*('parameter_table'!$E$19)+Q9+S9*('parameter_table'!$E$19)+T9*('parameter_table'!$E$19)+U9*('parameter_table'!$E$25))</f>
        <v/>
      </c>
      <c r="L9">
        <f>F9/14-G9/14-H9/14+J9/31</f>
        <v/>
      </c>
      <c r="O9">
        <f>1</f>
        <v/>
      </c>
    </row>
    <row r="10">
      <c r="A10" t="n">
        <v>9</v>
      </c>
      <c r="B10" t="inlineStr">
        <is>
          <t>Anoxic growth on S_A (NO3 -&gt; NO2)</t>
        </is>
      </c>
      <c r="E10">
        <f>-1/'parameter_table'!$E$2</f>
        <v/>
      </c>
      <c r="F10">
        <f>-(D10*('parameter_table'!$E$11)+K10*('parameter_table'!$E$10)+I10+G10+H10+M10*('parameter_table'!$E$12)+N10*('parameter_table'!$E$13)+O10*('parameter_table'!$E$14)+P10*('parameter_table'!$E$14)+S10*('parameter_table'!$E$14)+T10*('parameter_table'!$E$14))</f>
        <v/>
      </c>
      <c r="G10">
        <f>(1-'parameter_table'!$E$2)/((8/7)*'parameter_table'!$E$2)</f>
        <v/>
      </c>
      <c r="H10">
        <f>-((1-'parameter_table'!$E$2)/((8/7)*'parameter_table'!$E$2))</f>
        <v/>
      </c>
      <c r="J10">
        <f>-(D10*('parameter_table'!$E$16)+K10*('parameter_table'!$E$15)+M10*('parameter_table'!$E$17)+N10*('parameter_table'!$E$18)+O10*('parameter_table'!$E$19)+P10*('parameter_table'!$E$19)+Q10+S10*('parameter_table'!$E$19)+T10*('parameter_table'!$E$19)+U10*('parameter_table'!$E$25))</f>
        <v/>
      </c>
      <c r="L10">
        <f>F10/14-G10/14-H10/14+J10/31</f>
        <v/>
      </c>
      <c r="O10">
        <f>1</f>
        <v/>
      </c>
    </row>
    <row r="11">
      <c r="A11" t="n">
        <v>10</v>
      </c>
      <c r="B11" t="inlineStr">
        <is>
          <t>Anoxic growth on S_A (NO2 -&gt; N2)</t>
        </is>
      </c>
      <c r="E11">
        <f>-1/'parameter_table'!$E$2</f>
        <v/>
      </c>
      <c r="F11">
        <f>-(D11*('parameter_table'!$E$11)+K11*('parameter_table'!$E$10)+I11+G11+H11+M11*('parameter_table'!$E$12)+N11*('parameter_table'!$E$13)+O11*('parameter_table'!$E$14)+P11*('parameter_table'!$E$14)+S11*('parameter_table'!$E$14)+T11*('parameter_table'!$E$14))</f>
        <v/>
      </c>
      <c r="G11">
        <f>-((1-'parameter_table'!$E$2)/(1.72*'parameter_table'!$E$2))</f>
        <v/>
      </c>
      <c r="I11">
        <f>(1-'parameter_table'!$E$2)/(1.72*'parameter_table'!$E$2)</f>
        <v/>
      </c>
      <c r="J11">
        <f>-(D11*('parameter_table'!$E$16)+K11*('parameter_table'!$E$15)+M11*('parameter_table'!$E$17)+N11*('parameter_table'!$E$18)+O11*('parameter_table'!$E$19)+P11*('parameter_table'!$E$19)+Q11+S11*('parameter_table'!$E$19)+T11*('parameter_table'!$E$19)+U11*('parameter_table'!$E$25))</f>
        <v/>
      </c>
      <c r="L11">
        <f>F11/14-G11/14-H11/14+J11/31</f>
        <v/>
      </c>
      <c r="O11">
        <f>1</f>
        <v/>
      </c>
    </row>
    <row r="12">
      <c r="A12" t="n">
        <v>11</v>
      </c>
      <c r="B12" t="inlineStr">
        <is>
          <t>Fermentation</t>
        </is>
      </c>
      <c r="D12">
        <f>-1</f>
        <v/>
      </c>
      <c r="E12">
        <f>1</f>
        <v/>
      </c>
      <c r="F12">
        <f>-(D12*('parameter_table'!$E$11)+K12*('parameter_table'!$E$10)+I12+G12+H12+M12*('parameter_table'!$E$12)+N12*('parameter_table'!$E$13)+O12*('parameter_table'!$E$14)+P12*('parameter_table'!$E$14)+S12*('parameter_table'!$E$14)+T12*('parameter_table'!$E$14))</f>
        <v/>
      </c>
      <c r="J12">
        <f>-(D12*('parameter_table'!$E$16)+K12*('parameter_table'!$E$15)+M12*('parameter_table'!$E$17)+N12*('parameter_table'!$E$18)+O12*('parameter_table'!$E$19)+P12*('parameter_table'!$E$19)+Q12+S12*('parameter_table'!$E$19)+T12*('parameter_table'!$E$19)+U12*('parameter_table'!$E$25))</f>
        <v/>
      </c>
      <c r="L12">
        <f>F12/14-G12/14-H12/14+J12/31</f>
        <v/>
      </c>
    </row>
    <row r="13">
      <c r="A13" t="n">
        <v>12</v>
      </c>
      <c r="B13" t="inlineStr">
        <is>
          <t>Lysis of X_H</t>
        </is>
      </c>
      <c r="F13">
        <f>-(D13*('parameter_table'!$E$11)+K13*('parameter_table'!$E$10)+I13+G13+H13+M13*('parameter_table'!$E$12)+N13*('parameter_table'!$E$13)+O13*('parameter_table'!$E$14)+P13*('parameter_table'!$E$14)+S13*('parameter_table'!$E$14)+T13*('parameter_table'!$E$14))</f>
        <v/>
      </c>
      <c r="J13">
        <f>-(D13*('parameter_table'!$E$16)+K13*('parameter_table'!$E$15)+M13*('parameter_table'!$E$17)+N13*('parameter_table'!$E$18)+O13*('parameter_table'!$E$19)+P13*('parameter_table'!$E$19)+Q13+S13*('parameter_table'!$E$19)+T13*('parameter_table'!$E$19)+U13*('parameter_table'!$E$25))</f>
        <v/>
      </c>
      <c r="L13">
        <f>F13/14-G13/14-H13/14+J13/31</f>
        <v/>
      </c>
      <c r="M13">
        <f>'parameter_table'!$E$9</f>
        <v/>
      </c>
      <c r="N13">
        <f>1-'parameter_table'!$E$9</f>
        <v/>
      </c>
      <c r="O13">
        <f>-1</f>
        <v/>
      </c>
    </row>
    <row r="14">
      <c r="A14" t="n">
        <v>13</v>
      </c>
      <c r="B14" t="inlineStr">
        <is>
          <t>Storage of X_PHA</t>
        </is>
      </c>
      <c r="E14">
        <f>-1</f>
        <v/>
      </c>
      <c r="F14">
        <f>-(D14*('parameter_table'!$E$11)+K14*('parameter_table'!$E$10)+I14+G14+H14+M14*('parameter_table'!$E$12)+N14*('parameter_table'!$E$13)+O14*('parameter_table'!$E$14)+P14*('parameter_table'!$E$14)+S14*('parameter_table'!$E$14)+T14*('parameter_table'!$E$14))</f>
        <v/>
      </c>
      <c r="J14">
        <f>-(D14*('parameter_table'!$E$16)+K14*('parameter_table'!$E$15)+M14*('parameter_table'!$E$17)+N14*('parameter_table'!$E$18)+O14*('parameter_table'!$E$19)+P14*('parameter_table'!$E$19)+Q14+S14*('parameter_table'!$E$19)+T14*('parameter_table'!$E$19)+U14*('parameter_table'!$E$25))</f>
        <v/>
      </c>
      <c r="L14">
        <f>F14/14-G14/14-H14/14+J14/31</f>
        <v/>
      </c>
      <c r="Q14">
        <f>-'parameter_table'!$E$5</f>
        <v/>
      </c>
      <c r="R14">
        <f>1</f>
        <v/>
      </c>
    </row>
    <row r="15">
      <c r="A15" t="n">
        <v>14</v>
      </c>
      <c r="B15" t="inlineStr">
        <is>
          <t>Aerobic storage of X_PP</t>
        </is>
      </c>
      <c r="C15">
        <f>-'parameter_table'!$E$4</f>
        <v/>
      </c>
      <c r="F15">
        <f>-(D15*('parameter_table'!$E$11)+K15*('parameter_table'!$E$10)+I15+G15+H15+M15*('parameter_table'!$E$12)+N15*('parameter_table'!$E$13)+O15*('parameter_table'!$E$14)+P15*('parameter_table'!$E$14)+S15*('parameter_table'!$E$14)+T15*('parameter_table'!$E$14))</f>
        <v/>
      </c>
      <c r="J15">
        <f>-(D15*('parameter_table'!$E$16)+K15*('parameter_table'!$E$15)+M15*('parameter_table'!$E$17)+N15*('parameter_table'!$E$18)+O15*('parameter_table'!$E$19)+P15*('parameter_table'!$E$19)+Q15+S15*('parameter_table'!$E$19)+T15*('parameter_table'!$E$19)+U15*('parameter_table'!$E$25))</f>
        <v/>
      </c>
      <c r="L15">
        <f>F15/14-G15/14-H15/14+J15/31</f>
        <v/>
      </c>
      <c r="Q15">
        <f>1</f>
        <v/>
      </c>
      <c r="R15">
        <f>-'parameter_table'!$E$4</f>
        <v/>
      </c>
    </row>
    <row r="16">
      <c r="A16" t="n">
        <v>15</v>
      </c>
      <c r="B16" t="inlineStr">
        <is>
          <t>Anoxic storage of X_PP (NO3 -&gt; NO2)</t>
        </is>
      </c>
      <c r="F16">
        <f>-(D16*('parameter_table'!$E$11)+K16*('parameter_table'!$E$10)+I16+G16+H16+M16*('parameter_table'!$E$12)+N16*('parameter_table'!$E$13)+O16*('parameter_table'!$E$14)+P16*('parameter_table'!$E$14)+S16*('parameter_table'!$E$14)+T16*('parameter_table'!$E$14))</f>
        <v/>
      </c>
      <c r="G16">
        <f>'parameter_table'!$E$4/(8/7)</f>
        <v/>
      </c>
      <c r="H16">
        <f>-('parameter_table'!$E$4/(8/7))</f>
        <v/>
      </c>
      <c r="J16">
        <f>-(D16*('parameter_table'!$E$16)+K16*('parameter_table'!$E$15)+M16*('parameter_table'!$E$17)+N16*('parameter_table'!$E$18)+O16*('parameter_table'!$E$19)+P16*('parameter_table'!$E$19)+Q16+S16*('parameter_table'!$E$19)+T16*('parameter_table'!$E$19)+U16*('parameter_table'!$E$25))</f>
        <v/>
      </c>
      <c r="L16">
        <f>F16/14-G16/14-H16/14+J16/31</f>
        <v/>
      </c>
      <c r="Q16">
        <f>1</f>
        <v/>
      </c>
      <c r="R16">
        <f>-'parameter_table'!$E$4</f>
        <v/>
      </c>
    </row>
    <row r="17">
      <c r="A17" t="n">
        <v>16</v>
      </c>
      <c r="B17" t="inlineStr">
        <is>
          <t>Anoxic storage of X_PP (NO2 -&gt; N2)</t>
        </is>
      </c>
      <c r="F17">
        <f>-(D17*('parameter_table'!$E$11)+K17*('parameter_table'!$E$10)+I17+G17+H17+M17*('parameter_table'!$E$12)+N17*('parameter_table'!$E$13)+O17*('parameter_table'!$E$14)+P17*('parameter_table'!$E$14)+S17*('parameter_table'!$E$14)+T17*('parameter_table'!$E$14))</f>
        <v/>
      </c>
      <c r="G17">
        <f>-('parameter_table'!$E$4/1.72)</f>
        <v/>
      </c>
      <c r="I17">
        <f>'parameter_table'!$E$4/1.72</f>
        <v/>
      </c>
      <c r="J17">
        <f>-(D17*('parameter_table'!$E$16)+K17*('parameter_table'!$E$15)+M17*('parameter_table'!$E$17)+N17*('parameter_table'!$E$18)+O17*('parameter_table'!$E$19)+P17*('parameter_table'!$E$19)+Q17+S17*('parameter_table'!$E$19)+T17*('parameter_table'!$E$19)+U17*('parameter_table'!$E$25))</f>
        <v/>
      </c>
      <c r="L17">
        <f>F17/14-G17/14-H17/14+J17/31</f>
        <v/>
      </c>
      <c r="Q17">
        <f>1</f>
        <v/>
      </c>
      <c r="R17">
        <f>-'parameter_table'!$E$4</f>
        <v/>
      </c>
    </row>
    <row r="18">
      <c r="A18" t="n">
        <v>17</v>
      </c>
      <c r="B18" t="inlineStr">
        <is>
          <t>Aerobic growth (PAO)</t>
        </is>
      </c>
      <c r="C18">
        <f>1-1/'parameter_table'!$E$3</f>
        <v/>
      </c>
      <c r="F18">
        <f>-(D18*('parameter_table'!$E$11)+K18*('parameter_table'!$E$10)+I18+G18+H18+M18*('parameter_table'!$E$12)+N18*('parameter_table'!$E$13)+O18*('parameter_table'!$E$14)+P18*('parameter_table'!$E$14)+S18*('parameter_table'!$E$14)+T18*('parameter_table'!$E$14))</f>
        <v/>
      </c>
      <c r="J18">
        <f>-(D18*('parameter_table'!$E$16)+K18*('parameter_table'!$E$15)+M18*('parameter_table'!$E$17)+N18*('parameter_table'!$E$18)+O18*('parameter_table'!$E$19)+P18*('parameter_table'!$E$19)+Q18+S18*('parameter_table'!$E$19)+T18*('parameter_table'!$E$19)+U18*('parameter_table'!$E$25))</f>
        <v/>
      </c>
      <c r="L18">
        <f>F18/14-G18/14-H18/14+J18/31</f>
        <v/>
      </c>
      <c r="P18">
        <f>1</f>
        <v/>
      </c>
      <c r="R18">
        <f>-1/'parameter_table'!$E$3</f>
        <v/>
      </c>
    </row>
    <row r="19">
      <c r="A19" t="n">
        <v>18</v>
      </c>
      <c r="B19" t="inlineStr">
        <is>
          <t>Anoxic growth (PAO, NO3 -&gt; NO2)</t>
        </is>
      </c>
      <c r="F19">
        <f>-(D19*('parameter_table'!$E$11)+K19*('parameter_table'!$E$10)+I19+G19+H19+M19*('parameter_table'!$E$12)+N19*('parameter_table'!$E$13)+O19*('parameter_table'!$E$14)+P19*('parameter_table'!$E$14)+S19*('parameter_table'!$E$14)+T19*('parameter_table'!$E$14))</f>
        <v/>
      </c>
      <c r="G19">
        <f>(1-'parameter_table'!$E$3)/((8/7)*'parameter_table'!$E$3)</f>
        <v/>
      </c>
      <c r="H19">
        <f>-((1-'parameter_table'!$E$3)/((8/7)*'parameter_table'!$E$3))</f>
        <v/>
      </c>
      <c r="J19">
        <f>-(D19*('parameter_table'!$E$16)+K19*('parameter_table'!$E$15)+M19*('parameter_table'!$E$17)+N19*('parameter_table'!$E$18)+O19*('parameter_table'!$E$19)+P19*('parameter_table'!$E$19)+Q19+S19*('parameter_table'!$E$19)+T19*('parameter_table'!$E$19)+U19*('parameter_table'!$E$25))</f>
        <v/>
      </c>
      <c r="L19">
        <f>F19/14-G19/14-H19/14+J19/31</f>
        <v/>
      </c>
      <c r="P19">
        <f>1</f>
        <v/>
      </c>
      <c r="R19">
        <f>-1/'parameter_table'!$E$3</f>
        <v/>
      </c>
    </row>
    <row r="20">
      <c r="A20" t="n">
        <v>19</v>
      </c>
      <c r="B20" t="inlineStr">
        <is>
          <t>Anoxic growth (PAO, NO2 -&gt; N2)</t>
        </is>
      </c>
      <c r="F20">
        <f>-(D20*('parameter_table'!$E$11)+K20*('parameter_table'!$E$10)+I20+G20+H20+M20*('parameter_table'!$E$12)+N20*('parameter_table'!$E$13)+O20*('parameter_table'!$E$14)+P20*('parameter_table'!$E$14)+S20*('parameter_table'!$E$14)+T20*('parameter_table'!$E$14))</f>
        <v/>
      </c>
      <c r="G20">
        <f>-((1-'parameter_table'!$E$3)/(1.72*'parameter_table'!$E$3))</f>
        <v/>
      </c>
      <c r="I20">
        <f>(1-'parameter_table'!$E$3)/(1.72*'parameter_table'!$E$3)</f>
        <v/>
      </c>
      <c r="J20">
        <f>-(D20*('parameter_table'!$E$16)+K20*('parameter_table'!$E$15)+M20*('parameter_table'!$E$17)+N20*('parameter_table'!$E$18)+O20*('parameter_table'!$E$19)+P20*('parameter_table'!$E$19)+Q20+S20*('parameter_table'!$E$19)+T20*('parameter_table'!$E$19)+U20*('parameter_table'!$E$25))</f>
        <v/>
      </c>
      <c r="L20">
        <f>F20/14-G20/14-H20/14+J20/31</f>
        <v/>
      </c>
      <c r="P20">
        <f>1</f>
        <v/>
      </c>
      <c r="R20">
        <f>-1/'parameter_table'!$E$3</f>
        <v/>
      </c>
    </row>
    <row r="21">
      <c r="A21" t="n">
        <v>20</v>
      </c>
      <c r="B21" t="inlineStr">
        <is>
          <t>Lysis of X_PAO</t>
        </is>
      </c>
      <c r="F21">
        <f>-(D21*('parameter_table'!$E$11)+K21*('parameter_table'!$E$10)+I21+G21+H21+M21*('parameter_table'!$E$12)+N21*('parameter_table'!$E$13)+O21*('parameter_table'!$E$14)+P21*('parameter_table'!$E$14)+S21*('parameter_table'!$E$14)+T21*('parameter_table'!$E$14))</f>
        <v/>
      </c>
      <c r="J21">
        <f>-(D21*('parameter_table'!$E$16)+K21*('parameter_table'!$E$15)+M21*('parameter_table'!$E$17)+N21*('parameter_table'!$E$18)+O21*('parameter_table'!$E$19)+P21*('parameter_table'!$E$19)+Q21+S21*('parameter_table'!$E$19)+T21*('parameter_table'!$E$19)+U21*('parameter_table'!$E$25))</f>
        <v/>
      </c>
      <c r="L21">
        <f>F21/14-G21/14-H21/14+J21/31</f>
        <v/>
      </c>
      <c r="M21">
        <f>'parameter_table'!$E$9</f>
        <v/>
      </c>
      <c r="N21">
        <f>1-'parameter_table'!$E$9</f>
        <v/>
      </c>
      <c r="P21">
        <f>-1</f>
        <v/>
      </c>
    </row>
    <row r="22">
      <c r="A22" t="n">
        <v>21</v>
      </c>
      <c r="B22" t="inlineStr">
        <is>
          <t>Lysis of X_PP</t>
        </is>
      </c>
      <c r="F22">
        <f>-(D22*('parameter_table'!$E$11)+K22*('parameter_table'!$E$10)+I22+G22+H22+M22*('parameter_table'!$E$12)+N22*('parameter_table'!$E$13)+O22*('parameter_table'!$E$14)+P22*('parameter_table'!$E$14)+S22*('parameter_table'!$E$14)+T22*('parameter_table'!$E$14))</f>
        <v/>
      </c>
      <c r="J22">
        <f>-(D22*('parameter_table'!$E$16)+K22*('parameter_table'!$E$15)+M22*('parameter_table'!$E$17)+N22*('parameter_table'!$E$18)+O22*('parameter_table'!$E$19)+P22*('parameter_table'!$E$19)+Q22+S22*('parameter_table'!$E$19)+T22*('parameter_table'!$E$19)+U22*('parameter_table'!$E$25))</f>
        <v/>
      </c>
      <c r="L22">
        <f>F22/14-G22/14-H22/14+J22/31</f>
        <v/>
      </c>
      <c r="Q22">
        <f>-1</f>
        <v/>
      </c>
    </row>
    <row r="23">
      <c r="A23" t="n">
        <v>22</v>
      </c>
      <c r="B23" t="inlineStr">
        <is>
          <t>Lysis of X_PHA</t>
        </is>
      </c>
      <c r="E23">
        <f>1</f>
        <v/>
      </c>
      <c r="F23">
        <f>-(D23*('parameter_table'!$E$11)+K23*('parameter_table'!$E$10)+I23+G23+H23+M23*('parameter_table'!$E$12)+N23*('parameter_table'!$E$13)+O23*('parameter_table'!$E$14)+P23*('parameter_table'!$E$14)+S23*('parameter_table'!$E$14)+T23*('parameter_table'!$E$14))</f>
        <v/>
      </c>
      <c r="J23">
        <f>-(D23*('parameter_table'!$E$16)+K23*('parameter_table'!$E$15)+M23*('parameter_table'!$E$17)+N23*('parameter_table'!$E$18)+O23*('parameter_table'!$E$19)+P23*('parameter_table'!$E$19)+Q23+S23*('parameter_table'!$E$19)+T23*('parameter_table'!$E$19)+U23*('parameter_table'!$E$25))</f>
        <v/>
      </c>
      <c r="L23">
        <f>F23/14-G23/14-H23/14+J23/31</f>
        <v/>
      </c>
      <c r="R23">
        <f>-1</f>
        <v/>
      </c>
    </row>
    <row r="24">
      <c r="A24" t="n">
        <v>23</v>
      </c>
      <c r="B24" t="inlineStr">
        <is>
          <t>Aerobic growth of X_AOB</t>
        </is>
      </c>
      <c r="C24">
        <f>-((3.43-'parameter_table'!$E$6)/'parameter_table'!$E$6)</f>
        <v/>
      </c>
      <c r="F24">
        <f>-(D24*('parameter_table'!$E$11)+K24*('parameter_table'!$E$10)+I24+G24+H24+M24*('parameter_table'!$E$12)+N24*('parameter_table'!$E$13)+O24*('parameter_table'!$E$14)+P24*('parameter_table'!$E$14)+S24*('parameter_table'!$E$14)+T24*('parameter_table'!$E$14))</f>
        <v/>
      </c>
      <c r="G24">
        <f>1/'parameter_table'!$E$6</f>
        <v/>
      </c>
      <c r="J24">
        <f>-(D24*('parameter_table'!$E$16)+K24*('parameter_table'!$E$15)+M24*('parameter_table'!$E$17)+N24*('parameter_table'!$E$18)+O24*('parameter_table'!$E$19)+P24*('parameter_table'!$E$19)+Q24+S24*('parameter_table'!$E$19)+T24*('parameter_table'!$E$19)+U24*('parameter_table'!$E$25))</f>
        <v/>
      </c>
      <c r="L24">
        <f>F24/14-G24/14-H24/14+J24/31</f>
        <v/>
      </c>
      <c r="S24">
        <f>1</f>
        <v/>
      </c>
    </row>
    <row r="25">
      <c r="A25" t="n">
        <v>24</v>
      </c>
      <c r="B25" t="inlineStr">
        <is>
          <t>Aerobic growth of X_NOB</t>
        </is>
      </c>
      <c r="C25">
        <f>-((1.14-'parameter_table'!$E$7)/'parameter_table'!$E$7)</f>
        <v/>
      </c>
      <c r="F25">
        <f>-(D25*('parameter_table'!$E$11)+K25*('parameter_table'!$E$10)+I25+G25+H25+M25*('parameter_table'!$E$12)+N25*('parameter_table'!$E$13)+O25*('parameter_table'!$E$14)+P25*('parameter_table'!$E$14)+S25*('parameter_table'!$E$14)+T25*('parameter_table'!$E$14))</f>
        <v/>
      </c>
      <c r="G25">
        <f>-1/'parameter_table'!$E$7</f>
        <v/>
      </c>
      <c r="H25">
        <f>1/'parameter_table'!$E$7</f>
        <v/>
      </c>
      <c r="J25">
        <f>-(D25*('parameter_table'!$E$16)+K25*('parameter_table'!$E$15)+M25*('parameter_table'!$E$17)+N25*('parameter_table'!$E$18)+O25*('parameter_table'!$E$19)+P25*('parameter_table'!$E$19)+Q25+S25*('parameter_table'!$E$19)+T25*('parameter_table'!$E$19)+U25*('parameter_table'!$E$25))</f>
        <v/>
      </c>
      <c r="L25">
        <f>F25/14-G25/14-H25/14+J25/31</f>
        <v/>
      </c>
      <c r="T25">
        <f>1</f>
        <v/>
      </c>
    </row>
    <row r="26">
      <c r="A26" t="n">
        <v>25</v>
      </c>
      <c r="B26" t="inlineStr">
        <is>
          <t>Lysis of X_AOB</t>
        </is>
      </c>
      <c r="F26">
        <f>-(D26*('parameter_table'!$E$11)+K26*('parameter_table'!$E$10)+I26+G26+H26+M26*('parameter_table'!$E$12)+N26*('parameter_table'!$E$13)+O26*('parameter_table'!$E$14)+P26*('parameter_table'!$E$14)+S26*('parameter_table'!$E$14)+T26*('parameter_table'!$E$14))</f>
        <v/>
      </c>
      <c r="J26">
        <f>-(D26*('parameter_table'!$E$16)+K26*('parameter_table'!$E$15)+M26*('parameter_table'!$E$17)+N26*('parameter_table'!$E$18)+O26*('parameter_table'!$E$19)+P26*('parameter_table'!$E$19)+Q26+S26*('parameter_table'!$E$19)+T26*('parameter_table'!$E$19)+U26*('parameter_table'!$E$25))</f>
        <v/>
      </c>
      <c r="L26">
        <f>F26/14-G26/14-H26/14+J26/31</f>
        <v/>
      </c>
      <c r="M26">
        <f>'parameter_table'!$E$9</f>
        <v/>
      </c>
      <c r="N26">
        <f>1-'parameter_table'!$E$9</f>
        <v/>
      </c>
      <c r="S26">
        <f>-1</f>
        <v/>
      </c>
    </row>
    <row r="27">
      <c r="A27" t="n">
        <v>26</v>
      </c>
      <c r="B27" t="inlineStr">
        <is>
          <t>Lysis of X_NOB</t>
        </is>
      </c>
      <c r="F27">
        <f>-(D27*('parameter_table'!$E$11)+K27*('parameter_table'!$E$10)+I27+G27+H27+M27*('parameter_table'!$E$12)+N27*('parameter_table'!$E$13)+O27*('parameter_table'!$E$14)+P27*('parameter_table'!$E$14)+S27*('parameter_table'!$E$14)+T27*('parameter_table'!$E$14))</f>
        <v/>
      </c>
      <c r="J27">
        <f>-(D27*('parameter_table'!$E$16)+K27*('parameter_table'!$E$15)+M27*('parameter_table'!$E$17)+N27*('parameter_table'!$E$18)+O27*('parameter_table'!$E$19)+P27*('parameter_table'!$E$19)+Q27+S27*('parameter_table'!$E$19)+T27*('parameter_table'!$E$19)+U27*('parameter_table'!$E$25))</f>
        <v/>
      </c>
      <c r="L27">
        <f>F27/14-G27/14-H27/14+J27/31</f>
        <v/>
      </c>
      <c r="M27">
        <f>'parameter_table'!$E$9</f>
        <v/>
      </c>
      <c r="N27">
        <f>1-'parameter_table'!$E$9</f>
        <v/>
      </c>
      <c r="T27">
        <f>-1</f>
        <v/>
      </c>
    </row>
    <row r="28">
      <c r="A28" t="n">
        <v>27</v>
      </c>
      <c r="B28" t="inlineStr">
        <is>
          <t>Precipitation</t>
        </is>
      </c>
      <c r="F28">
        <f>-(D28*('parameter_table'!$E$11)+K28*('parameter_table'!$E$10)+I28+G28+H28+M28*('parameter_table'!$E$12)+N28*('parameter_table'!$E$13)+O28*('parameter_table'!$E$14)+P28*('parameter_table'!$E$14)+S28*('parameter_table'!$E$14)+T28*('parameter_table'!$E$14))</f>
        <v/>
      </c>
      <c r="J28">
        <f>-1</f>
        <v/>
      </c>
      <c r="L28">
        <f>F28/14-G28/14-H28/14+J28/31</f>
        <v/>
      </c>
      <c r="U28">
        <f>4.87</f>
        <v/>
      </c>
      <c r="V28">
        <f>-3.45</f>
        <v/>
      </c>
    </row>
    <row r="29">
      <c r="A29" t="n">
        <v>28</v>
      </c>
      <c r="B29" t="inlineStr">
        <is>
          <t>Redissolution</t>
        </is>
      </c>
      <c r="F29">
        <f>-(D29*('parameter_table'!$E$11)+K29*('parameter_table'!$E$10)+I29+G29+H29+M29*('parameter_table'!$E$12)+N29*('parameter_table'!$E$13)+O29*('parameter_table'!$E$14)+P29*('parameter_table'!$E$14)+S29*('parameter_table'!$E$14)+T29*('parameter_table'!$E$14))</f>
        <v/>
      </c>
      <c r="J29">
        <f>1</f>
        <v/>
      </c>
      <c r="L29">
        <f>F29/14-G29/14-H29/14+J29/31</f>
        <v/>
      </c>
      <c r="U29">
        <f>-4.87</f>
        <v/>
      </c>
      <c r="V29">
        <f>3.45</f>
        <v/>
      </c>
    </row>
  </sheetData>
  <autoFilter ref="A1:V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state_group</t>
        </is>
      </c>
      <c r="B1" s="1" t="inlineStr">
        <is>
          <t>state_variable</t>
        </is>
      </c>
      <c r="C1" s="1" t="inlineStr">
        <is>
          <t>unit</t>
        </is>
      </c>
      <c r="D1" s="1" t="inlineStr">
        <is>
          <t>COD</t>
        </is>
      </c>
      <c r="E1" s="1" t="inlineStr">
        <is>
          <t>TN</t>
        </is>
      </c>
      <c r="F1" s="1" t="inlineStr">
        <is>
          <t>TKN</t>
        </is>
      </c>
      <c r="G1" s="1" t="inlineStr">
        <is>
          <t>TP</t>
        </is>
      </c>
      <c r="H1" s="1" t="inlineStr">
        <is>
          <t>TSS</t>
        </is>
      </c>
    </row>
    <row r="2">
      <c r="A2" t="inlineStr">
        <is>
          <t>Dissolved</t>
        </is>
      </c>
      <c r="B2" t="inlineStr">
        <is>
          <t>S_O</t>
        </is>
      </c>
      <c r="C2" t="inlineStr">
        <is>
          <t>g O2/m^3</t>
        </is>
      </c>
    </row>
    <row r="3">
      <c r="A3" t="inlineStr">
        <is>
          <t>Dissolved</t>
        </is>
      </c>
      <c r="B3" t="inlineStr">
        <is>
          <t>S_F</t>
        </is>
      </c>
      <c r="C3" t="inlineStr">
        <is>
          <t>g COD/m^3</t>
        </is>
      </c>
      <c r="D3">
        <f>1</f>
        <v/>
      </c>
      <c r="E3">
        <f>'parameter_table'!$E$11</f>
        <v/>
      </c>
      <c r="F3">
        <f>'parameter_table'!$E$11</f>
        <v/>
      </c>
      <c r="G3">
        <f>'parameter_table'!$E$16</f>
        <v/>
      </c>
    </row>
    <row r="4">
      <c r="A4" t="inlineStr">
        <is>
          <t>Dissolved</t>
        </is>
      </c>
      <c r="B4" t="inlineStr">
        <is>
          <t>S_A</t>
        </is>
      </c>
      <c r="C4" t="inlineStr">
        <is>
          <t>g COD/m^3</t>
        </is>
      </c>
      <c r="D4">
        <f>1</f>
        <v/>
      </c>
    </row>
    <row r="5">
      <c r="A5" t="inlineStr">
        <is>
          <t>Dissolved</t>
        </is>
      </c>
      <c r="B5" t="inlineStr">
        <is>
          <t>S_NH4</t>
        </is>
      </c>
      <c r="C5" t="inlineStr">
        <is>
          <t>g N/m^3</t>
        </is>
      </c>
      <c r="E5">
        <f>1</f>
        <v/>
      </c>
      <c r="F5">
        <f>1</f>
        <v/>
      </c>
    </row>
    <row r="6">
      <c r="A6" t="inlineStr">
        <is>
          <t>Dissolved</t>
        </is>
      </c>
      <c r="B6" t="inlineStr">
        <is>
          <t>S_NO2</t>
        </is>
      </c>
      <c r="C6" t="inlineStr">
        <is>
          <t>g N/m^3</t>
        </is>
      </c>
      <c r="E6">
        <f>1</f>
        <v/>
      </c>
    </row>
    <row r="7">
      <c r="A7" t="inlineStr">
        <is>
          <t>Dissolved</t>
        </is>
      </c>
      <c r="B7" t="inlineStr">
        <is>
          <t>S_NO3</t>
        </is>
      </c>
      <c r="C7" t="inlineStr">
        <is>
          <t>g N/m^3</t>
        </is>
      </c>
      <c r="E7">
        <f>1</f>
        <v/>
      </c>
    </row>
    <row r="8">
      <c r="A8" t="inlineStr">
        <is>
          <t>Dissolved</t>
        </is>
      </c>
      <c r="B8" t="inlineStr">
        <is>
          <t>S_N2</t>
        </is>
      </c>
      <c r="C8" t="inlineStr">
        <is>
          <t>g N/m^3</t>
        </is>
      </c>
    </row>
    <row r="9">
      <c r="A9" t="inlineStr">
        <is>
          <t>Dissolved</t>
        </is>
      </c>
      <c r="B9" t="inlineStr">
        <is>
          <t>S_PO4</t>
        </is>
      </c>
      <c r="C9" t="inlineStr">
        <is>
          <t>g P/m^3</t>
        </is>
      </c>
      <c r="G9">
        <f>1</f>
        <v/>
      </c>
    </row>
    <row r="10">
      <c r="A10" t="inlineStr">
        <is>
          <t>Dissolved</t>
        </is>
      </c>
      <c r="B10" t="inlineStr">
        <is>
          <t>S_I</t>
        </is>
      </c>
      <c r="C10" t="inlineStr">
        <is>
          <t>g COD/m^3</t>
        </is>
      </c>
      <c r="D10">
        <f>1</f>
        <v/>
      </c>
      <c r="E10">
        <f>'parameter_table'!$E$10</f>
        <v/>
      </c>
      <c r="F10">
        <f>'parameter_table'!$E$10</f>
        <v/>
      </c>
      <c r="G10">
        <f>'parameter_table'!$E$15</f>
        <v/>
      </c>
    </row>
    <row r="11">
      <c r="A11" t="inlineStr">
        <is>
          <t>Dissolved</t>
        </is>
      </c>
      <c r="B11" t="inlineStr">
        <is>
          <t>S_ALK</t>
        </is>
      </c>
      <c r="C11" t="inlineStr">
        <is>
          <t>mol/m^3</t>
        </is>
      </c>
    </row>
    <row r="12">
      <c r="A12" t="inlineStr">
        <is>
          <t>Particulate</t>
        </is>
      </c>
      <c r="B12" t="inlineStr">
        <is>
          <t>X_I</t>
        </is>
      </c>
      <c r="C12" t="inlineStr">
        <is>
          <t>g COD/m^3</t>
        </is>
      </c>
      <c r="D12">
        <f>1</f>
        <v/>
      </c>
      <c r="E12">
        <f>'parameter_table'!$E$12</f>
        <v/>
      </c>
      <c r="F12">
        <f>'parameter_table'!$E$12</f>
        <v/>
      </c>
      <c r="G12">
        <f>'parameter_table'!$E$17</f>
        <v/>
      </c>
      <c r="H12">
        <f>'parameter_table'!$E$20</f>
        <v/>
      </c>
    </row>
    <row r="13">
      <c r="A13" t="inlineStr">
        <is>
          <t>Particulate</t>
        </is>
      </c>
      <c r="B13" t="inlineStr">
        <is>
          <t>X_S</t>
        </is>
      </c>
      <c r="C13" t="inlineStr">
        <is>
          <t>g COD/m^3</t>
        </is>
      </c>
      <c r="D13">
        <f>1</f>
        <v/>
      </c>
      <c r="E13">
        <f>'parameter_table'!$E$13</f>
        <v/>
      </c>
      <c r="F13">
        <f>'parameter_table'!$E$13</f>
        <v/>
      </c>
      <c r="G13">
        <f>'parameter_table'!$E$18</f>
        <v/>
      </c>
      <c r="H13">
        <f>'parameter_table'!$E$21</f>
        <v/>
      </c>
    </row>
    <row r="14">
      <c r="A14" t="inlineStr">
        <is>
          <t>Particulate</t>
        </is>
      </c>
      <c r="B14" t="inlineStr">
        <is>
          <t>X_H</t>
        </is>
      </c>
      <c r="C14" t="inlineStr">
        <is>
          <t>g COD/m^3</t>
        </is>
      </c>
      <c r="D14">
        <f>1</f>
        <v/>
      </c>
      <c r="E14">
        <f>'parameter_table'!$E$14</f>
        <v/>
      </c>
      <c r="F14">
        <f>'parameter_table'!$E$14</f>
        <v/>
      </c>
      <c r="G14">
        <f>'parameter_table'!$E$19</f>
        <v/>
      </c>
      <c r="H14">
        <f>'parameter_table'!$E$22</f>
        <v/>
      </c>
    </row>
    <row r="15">
      <c r="A15" t="inlineStr">
        <is>
          <t>Particulate</t>
        </is>
      </c>
      <c r="B15" t="inlineStr">
        <is>
          <t>X_PAO</t>
        </is>
      </c>
      <c r="C15" t="inlineStr">
        <is>
          <t>g COD/m^3</t>
        </is>
      </c>
      <c r="D15">
        <f>1</f>
        <v/>
      </c>
      <c r="E15">
        <f>'parameter_table'!$E$14</f>
        <v/>
      </c>
      <c r="F15">
        <f>'parameter_table'!$E$14</f>
        <v/>
      </c>
      <c r="G15">
        <f>'parameter_table'!$E$19</f>
        <v/>
      </c>
      <c r="H15">
        <f>'parameter_table'!$E$22</f>
        <v/>
      </c>
    </row>
    <row r="16">
      <c r="A16" t="inlineStr">
        <is>
          <t>Particulate</t>
        </is>
      </c>
      <c r="B16" t="inlineStr">
        <is>
          <t>X_PP</t>
        </is>
      </c>
      <c r="C16" t="inlineStr">
        <is>
          <t>g P/m^3</t>
        </is>
      </c>
      <c r="G16">
        <f>1</f>
        <v/>
      </c>
      <c r="H16">
        <f>'parameter_table'!$E$24</f>
        <v/>
      </c>
    </row>
    <row r="17">
      <c r="A17" t="inlineStr">
        <is>
          <t>Particulate</t>
        </is>
      </c>
      <c r="B17" t="inlineStr">
        <is>
          <t>X_PHA</t>
        </is>
      </c>
      <c r="C17" t="inlineStr">
        <is>
          <t>g COD/m^3</t>
        </is>
      </c>
      <c r="D17">
        <f>1</f>
        <v/>
      </c>
      <c r="H17">
        <f>'parameter_table'!$E$23</f>
        <v/>
      </c>
    </row>
    <row r="18">
      <c r="A18" t="inlineStr">
        <is>
          <t>Particulate</t>
        </is>
      </c>
      <c r="B18" t="inlineStr">
        <is>
          <t>X_AOB</t>
        </is>
      </c>
      <c r="C18" t="inlineStr">
        <is>
          <t>g COD/m^3</t>
        </is>
      </c>
      <c r="D18">
        <f>1</f>
        <v/>
      </c>
      <c r="E18">
        <f>'parameter_table'!$E$14</f>
        <v/>
      </c>
      <c r="F18">
        <f>'parameter_table'!$E$14</f>
        <v/>
      </c>
      <c r="G18">
        <f>'parameter_table'!$E$19</f>
        <v/>
      </c>
      <c r="H18">
        <f>'parameter_table'!$E$22</f>
        <v/>
      </c>
    </row>
    <row r="19">
      <c r="A19" t="inlineStr">
        <is>
          <t>Particulate</t>
        </is>
      </c>
      <c r="B19" t="inlineStr">
        <is>
          <t>X_NOB</t>
        </is>
      </c>
      <c r="C19" t="inlineStr">
        <is>
          <t>g COD/m^3</t>
        </is>
      </c>
      <c r="D19">
        <f>1</f>
        <v/>
      </c>
      <c r="E19">
        <f>'parameter_table'!$E$14</f>
        <v/>
      </c>
      <c r="F19">
        <f>'parameter_table'!$E$14</f>
        <v/>
      </c>
      <c r="G19">
        <f>'parameter_table'!$E$19</f>
        <v/>
      </c>
      <c r="H19">
        <f>'parameter_table'!$E$22</f>
        <v/>
      </c>
    </row>
    <row r="20">
      <c r="A20" t="inlineStr">
        <is>
          <t>Particulate</t>
        </is>
      </c>
      <c r="B20" t="inlineStr">
        <is>
          <t>X_MeP</t>
        </is>
      </c>
      <c r="C20" t="inlineStr">
        <is>
          <t>g TSS/m^3</t>
        </is>
      </c>
      <c r="G20">
        <f>'parameter_table'!$E$25</f>
        <v/>
      </c>
      <c r="H20">
        <f>1</f>
        <v/>
      </c>
    </row>
    <row r="21">
      <c r="A21" t="inlineStr">
        <is>
          <t>Particulate</t>
        </is>
      </c>
      <c r="B21" t="inlineStr">
        <is>
          <t>X_MeOH</t>
        </is>
      </c>
      <c r="C21" t="inlineStr">
        <is>
          <t>g TSS/m^3</t>
        </is>
      </c>
      <c r="H21">
        <f>1</f>
        <v/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48" customWidth="1" min="4" max="4"/>
    <col width="12" customWidth="1" min="5" max="5"/>
    <col width="19" customWidth="1" min="6" max="6"/>
  </cols>
  <sheetData>
    <row r="1">
      <c r="A1" s="1" t="inlineStr">
        <is>
          <t>category</t>
        </is>
      </c>
      <c r="B1" s="1" t="inlineStr">
        <is>
          <t>symbol</t>
        </is>
      </c>
      <c r="C1" s="1" t="inlineStr">
        <is>
          <t>excel_name</t>
        </is>
      </c>
      <c r="D1" s="1" t="inlineStr">
        <is>
          <t>description</t>
        </is>
      </c>
      <c r="E1" s="1" t="inlineStr">
        <is>
          <t>value</t>
        </is>
      </c>
      <c r="F1" s="1" t="inlineStr">
        <is>
          <t>unit</t>
        </is>
      </c>
    </row>
    <row r="2">
      <c r="A2" s="2" t="inlineStr">
        <is>
          <t>Stoichiometric Parameters</t>
        </is>
      </c>
      <c r="B2" s="2" t="inlineStr">
        <is>
          <t>Y_H</t>
        </is>
      </c>
      <c r="C2" s="2" t="inlineStr">
        <is>
          <t>Y_H</t>
        </is>
      </c>
      <c r="D2" s="2" t="inlineStr">
        <is>
          <t>Yield coefficient for heterotrophic biomass</t>
        </is>
      </c>
      <c r="E2" s="3" t="n">
        <v>0.625</v>
      </c>
      <c r="F2" s="2" t="inlineStr">
        <is>
          <t>g COD/g COD</t>
        </is>
      </c>
    </row>
    <row r="3">
      <c r="A3" t="inlineStr">
        <is>
          <t>Stoichiometric Parameters</t>
        </is>
      </c>
      <c r="B3" t="inlineStr">
        <is>
          <t>Y_PAO</t>
        </is>
      </c>
      <c r="C3" t="inlineStr">
        <is>
          <t>Y_PAO</t>
        </is>
      </c>
      <c r="D3" t="inlineStr">
        <is>
          <t>Yield coefficient for PAO biomass</t>
        </is>
      </c>
      <c r="E3" s="4" t="n">
        <v>0.625</v>
      </c>
      <c r="F3" t="inlineStr">
        <is>
          <t>g COD/g COD</t>
        </is>
      </c>
    </row>
    <row r="4">
      <c r="A4" t="inlineStr">
        <is>
          <t>Stoichiometric Parameters</t>
        </is>
      </c>
      <c r="B4" t="inlineStr">
        <is>
          <t>Y_PHA</t>
        </is>
      </c>
      <c r="C4" t="inlineStr">
        <is>
          <t>Y_PHA</t>
        </is>
      </c>
      <c r="D4" t="inlineStr">
        <is>
          <t>PHA requirement for PP storage</t>
        </is>
      </c>
      <c r="E4" s="4" t="n">
        <v>0.2</v>
      </c>
      <c r="F4" t="inlineStr">
        <is>
          <t>g COD/g P</t>
        </is>
      </c>
    </row>
    <row r="5">
      <c r="A5" t="inlineStr">
        <is>
          <t>Stoichiometric Parameters</t>
        </is>
      </c>
      <c r="B5" t="inlineStr">
        <is>
          <t>Y_PO4</t>
        </is>
      </c>
      <c r="C5" t="inlineStr">
        <is>
          <t>Y_PO4</t>
        </is>
      </c>
      <c r="D5" t="inlineStr">
        <is>
          <t>PO4 release per PHA stored</t>
        </is>
      </c>
      <c r="E5" s="4" t="n">
        <v>0.4</v>
      </c>
      <c r="F5" t="inlineStr">
        <is>
          <t>g P/g COD</t>
        </is>
      </c>
    </row>
    <row r="6">
      <c r="A6" t="inlineStr">
        <is>
          <t>Stoichiometric Parameters</t>
        </is>
      </c>
      <c r="B6" t="inlineStr">
        <is>
          <t>Y_AOB</t>
        </is>
      </c>
      <c r="C6" t="inlineStr">
        <is>
          <t>Y_AOB</t>
        </is>
      </c>
      <c r="D6" t="inlineStr">
        <is>
          <t>Yield coefficient for AOB biomass</t>
        </is>
      </c>
      <c r="E6" s="4" t="n">
        <v>0.18</v>
      </c>
      <c r="F6" t="inlineStr">
        <is>
          <t>g COD/g N</t>
        </is>
      </c>
    </row>
    <row r="7">
      <c r="A7" t="inlineStr">
        <is>
          <t>Stoichiometric Parameters</t>
        </is>
      </c>
      <c r="B7" t="inlineStr">
        <is>
          <t>Y_NOB</t>
        </is>
      </c>
      <c r="C7" t="inlineStr">
        <is>
          <t>Y_NOB</t>
        </is>
      </c>
      <c r="D7" t="inlineStr">
        <is>
          <t>Yield coefficient for NOB biomass</t>
        </is>
      </c>
      <c r="E7" s="4" t="n">
        <v>0.08</v>
      </c>
      <c r="F7" t="inlineStr">
        <is>
          <t>g COD/g N</t>
        </is>
      </c>
    </row>
    <row r="8">
      <c r="A8" t="inlineStr">
        <is>
          <t>Stoichiometric Parameters</t>
        </is>
      </c>
      <c r="B8" t="inlineStr">
        <is>
          <t>f_SI</t>
        </is>
      </c>
      <c r="C8" t="inlineStr">
        <is>
          <t>f_SI</t>
        </is>
      </c>
      <c r="D8" t="inlineStr">
        <is>
          <t>Production of S_I in hydrolysis</t>
        </is>
      </c>
      <c r="E8" s="4" t="n">
        <v>0</v>
      </c>
      <c r="F8" t="inlineStr">
        <is>
          <t>g COD/g COD</t>
        </is>
      </c>
    </row>
    <row r="9">
      <c r="A9" t="inlineStr">
        <is>
          <t>Stoichiometric Parameters</t>
        </is>
      </c>
      <c r="B9" t="inlineStr">
        <is>
          <t>f_XI</t>
        </is>
      </c>
      <c r="C9" t="inlineStr">
        <is>
          <t>f_XI</t>
        </is>
      </c>
      <c r="D9" t="inlineStr">
        <is>
          <t>Fraction of inert COD generated in biomass lysis</t>
        </is>
      </c>
      <c r="E9" s="4" t="n">
        <v>0.1</v>
      </c>
      <c r="F9" t="inlineStr">
        <is>
          <t>g COD/g COD</t>
        </is>
      </c>
    </row>
    <row r="10">
      <c r="A10" s="2" t="inlineStr">
        <is>
          <t>Composition Parameters</t>
        </is>
      </c>
      <c r="B10" s="2" t="inlineStr">
        <is>
          <t>i_NSI</t>
        </is>
      </c>
      <c r="C10" s="2" t="inlineStr">
        <is>
          <t>i_NSI</t>
        </is>
      </c>
      <c r="D10" s="2" t="inlineStr">
        <is>
          <t>Nitrogen content of S_I</t>
        </is>
      </c>
      <c r="E10" s="3" t="n">
        <v>0.01</v>
      </c>
      <c r="F10" s="2" t="inlineStr">
        <is>
          <t>g N/g COD</t>
        </is>
      </c>
    </row>
    <row r="11">
      <c r="A11" t="inlineStr">
        <is>
          <t>Composition Parameters</t>
        </is>
      </c>
      <c r="B11" t="inlineStr">
        <is>
          <t>i_NSF</t>
        </is>
      </c>
      <c r="C11" t="inlineStr">
        <is>
          <t>i_NSF</t>
        </is>
      </c>
      <c r="D11" t="inlineStr">
        <is>
          <t>Nitrogen content of S_F</t>
        </is>
      </c>
      <c r="E11" s="4" t="n">
        <v>0</v>
      </c>
      <c r="F11" t="inlineStr">
        <is>
          <t>g N/g COD</t>
        </is>
      </c>
    </row>
    <row r="12">
      <c r="A12" t="inlineStr">
        <is>
          <t>Composition Parameters</t>
        </is>
      </c>
      <c r="B12" t="inlineStr">
        <is>
          <t>i_NXI</t>
        </is>
      </c>
      <c r="C12" t="inlineStr">
        <is>
          <t>i_NXI</t>
        </is>
      </c>
      <c r="D12" t="inlineStr">
        <is>
          <t>Nitrogen content of X_I</t>
        </is>
      </c>
      <c r="E12" s="4" t="n">
        <v>0.02</v>
      </c>
      <c r="F12" t="inlineStr">
        <is>
          <t>g N/g COD</t>
        </is>
      </c>
    </row>
    <row r="13">
      <c r="A13" t="inlineStr">
        <is>
          <t>Composition Parameters</t>
        </is>
      </c>
      <c r="B13" t="inlineStr">
        <is>
          <t>i_NXS</t>
        </is>
      </c>
      <c r="C13" t="inlineStr">
        <is>
          <t>i_NXS</t>
        </is>
      </c>
      <c r="D13" t="inlineStr">
        <is>
          <t>Nitrogen content of X_S</t>
        </is>
      </c>
      <c r="E13" s="4" t="n">
        <v>0</v>
      </c>
      <c r="F13" t="inlineStr">
        <is>
          <t>g N/g COD</t>
        </is>
      </c>
    </row>
    <row r="14">
      <c r="A14" t="inlineStr">
        <is>
          <t>Composition Parameters</t>
        </is>
      </c>
      <c r="B14" t="inlineStr">
        <is>
          <t>i_NBM</t>
        </is>
      </c>
      <c r="C14" t="inlineStr">
        <is>
          <t>i_NBM</t>
        </is>
      </c>
      <c r="D14" t="inlineStr">
        <is>
          <t>Nitrogen content of biomass</t>
        </is>
      </c>
      <c r="E14" s="4" t="n">
        <v>0.07000000000000001</v>
      </c>
      <c r="F14" t="inlineStr">
        <is>
          <t>g N/g COD</t>
        </is>
      </c>
    </row>
    <row r="15">
      <c r="A15" t="inlineStr">
        <is>
          <t>Composition Parameters</t>
        </is>
      </c>
      <c r="B15" t="inlineStr">
        <is>
          <t>i_PSI</t>
        </is>
      </c>
      <c r="C15" t="inlineStr">
        <is>
          <t>i_PSI</t>
        </is>
      </c>
      <c r="D15" t="inlineStr">
        <is>
          <t>Phosphorus content of S_I</t>
        </is>
      </c>
      <c r="E15" s="4" t="n">
        <v>0</v>
      </c>
      <c r="F15" t="inlineStr">
        <is>
          <t>g P/g COD</t>
        </is>
      </c>
    </row>
    <row r="16">
      <c r="A16" t="inlineStr">
        <is>
          <t>Composition Parameters</t>
        </is>
      </c>
      <c r="B16" t="inlineStr">
        <is>
          <t>i_PSF</t>
        </is>
      </c>
      <c r="C16" t="inlineStr">
        <is>
          <t>i_PSF</t>
        </is>
      </c>
      <c r="D16" t="inlineStr">
        <is>
          <t>Phosphorus content of S_F</t>
        </is>
      </c>
      <c r="E16" s="4" t="n">
        <v>0</v>
      </c>
      <c r="F16" t="inlineStr">
        <is>
          <t>g P/g COD</t>
        </is>
      </c>
    </row>
    <row r="17">
      <c r="A17" t="inlineStr">
        <is>
          <t>Composition Parameters</t>
        </is>
      </c>
      <c r="B17" t="inlineStr">
        <is>
          <t>i_PXI</t>
        </is>
      </c>
      <c r="C17" t="inlineStr">
        <is>
          <t>i_PXI</t>
        </is>
      </c>
      <c r="D17" t="inlineStr">
        <is>
          <t>Phosphorus content of X_I</t>
        </is>
      </c>
      <c r="E17" s="4" t="n">
        <v>0.01</v>
      </c>
      <c r="F17" t="inlineStr">
        <is>
          <t>g P/g COD</t>
        </is>
      </c>
    </row>
    <row r="18">
      <c r="A18" t="inlineStr">
        <is>
          <t>Composition Parameters</t>
        </is>
      </c>
      <c r="B18" t="inlineStr">
        <is>
          <t>i_PXS</t>
        </is>
      </c>
      <c r="C18" t="inlineStr">
        <is>
          <t>i_PXS</t>
        </is>
      </c>
      <c r="D18" t="inlineStr">
        <is>
          <t>Phosphorus content of X_S</t>
        </is>
      </c>
      <c r="E18" s="4" t="n">
        <v>0</v>
      </c>
      <c r="F18" t="inlineStr">
        <is>
          <t>g P/g COD</t>
        </is>
      </c>
    </row>
    <row r="19">
      <c r="A19" t="inlineStr">
        <is>
          <t>Composition Parameters</t>
        </is>
      </c>
      <c r="B19" t="inlineStr">
        <is>
          <t>i_PBM</t>
        </is>
      </c>
      <c r="C19" t="inlineStr">
        <is>
          <t>i_PBM</t>
        </is>
      </c>
      <c r="D19" t="inlineStr">
        <is>
          <t>Phosphorus content of biomass</t>
        </is>
      </c>
      <c r="E19" s="4" t="n">
        <v>0.02</v>
      </c>
      <c r="F19" t="inlineStr">
        <is>
          <t>g P/g COD</t>
        </is>
      </c>
    </row>
    <row r="20">
      <c r="A20" t="inlineStr">
        <is>
          <t>Composition Parameters</t>
        </is>
      </c>
      <c r="B20" t="inlineStr">
        <is>
          <t>i_TSS_XI</t>
        </is>
      </c>
      <c r="C20" t="inlineStr">
        <is>
          <t>i_TSS_XI</t>
        </is>
      </c>
      <c r="D20" t="inlineStr">
        <is>
          <t>TSS to COD ratio for X_I</t>
        </is>
      </c>
      <c r="E20" s="4" t="n">
        <v>0.75</v>
      </c>
      <c r="F20" t="inlineStr">
        <is>
          <t>g TSS/g COD</t>
        </is>
      </c>
    </row>
    <row r="21">
      <c r="A21" t="inlineStr">
        <is>
          <t>Composition Parameters</t>
        </is>
      </c>
      <c r="B21" t="inlineStr">
        <is>
          <t>i_TSS_XS</t>
        </is>
      </c>
      <c r="C21" t="inlineStr">
        <is>
          <t>i_TSS_XS</t>
        </is>
      </c>
      <c r="D21" t="inlineStr">
        <is>
          <t>TSS to COD ratio for X_S</t>
        </is>
      </c>
      <c r="E21" s="4" t="n">
        <v>0.75</v>
      </c>
      <c r="F21" t="inlineStr">
        <is>
          <t>g TSS/g COD</t>
        </is>
      </c>
    </row>
    <row r="22">
      <c r="A22" t="inlineStr">
        <is>
          <t>Composition Parameters</t>
        </is>
      </c>
      <c r="B22" t="inlineStr">
        <is>
          <t>i_TSS_BM</t>
        </is>
      </c>
      <c r="C22" t="inlineStr">
        <is>
          <t>i_TSS_BM</t>
        </is>
      </c>
      <c r="D22" t="inlineStr">
        <is>
          <t>TSS to COD ratio for biomass</t>
        </is>
      </c>
      <c r="E22" s="4" t="n">
        <v>0.9</v>
      </c>
      <c r="F22" t="inlineStr">
        <is>
          <t>g TSS/g COD</t>
        </is>
      </c>
    </row>
    <row r="23">
      <c r="A23" t="inlineStr">
        <is>
          <t>Composition Parameters</t>
        </is>
      </c>
      <c r="B23" t="inlineStr">
        <is>
          <t>i_TSS_PHA</t>
        </is>
      </c>
      <c r="C23" t="inlineStr">
        <is>
          <t>i_TSS_PHA</t>
        </is>
      </c>
      <c r="D23" t="inlineStr">
        <is>
          <t>TSS to COD ratio for X_PHA used in the TSS composite definition</t>
        </is>
      </c>
      <c r="E23" s="4" t="n">
        <v>0.6</v>
      </c>
      <c r="F23" t="inlineStr">
        <is>
          <t>g TSS/g COD</t>
        </is>
      </c>
    </row>
    <row r="24">
      <c r="A24" t="inlineStr">
        <is>
          <t>Composition Parameters</t>
        </is>
      </c>
      <c r="B24" t="inlineStr">
        <is>
          <t>i_TSS_PP</t>
        </is>
      </c>
      <c r="C24" t="inlineStr">
        <is>
          <t>i_TSS_PP</t>
        </is>
      </c>
      <c r="D24" t="inlineStr">
        <is>
          <t>TSS to P ratio for X_PP used in the TSS composite definition</t>
        </is>
      </c>
      <c r="E24" s="4" t="n">
        <v>3.23</v>
      </c>
      <c r="F24" t="inlineStr">
        <is>
          <t>g TSS/g P</t>
        </is>
      </c>
    </row>
    <row r="25">
      <c r="A25" t="inlineStr">
        <is>
          <t>Composition Parameters</t>
        </is>
      </c>
      <c r="B25" t="inlineStr">
        <is>
          <t>i_PMeP</t>
        </is>
      </c>
      <c r="C25" t="inlineStr">
        <is>
          <t>i_PMeP</t>
        </is>
      </c>
      <c r="D25" t="inlineStr">
        <is>
          <t>Phosphorus content of X_MeP derived from the precipitation stoichiometry</t>
        </is>
      </c>
      <c r="E25" s="4" t="n">
        <v>0.205</v>
      </c>
      <c r="F25" t="inlineStr">
        <is>
          <t>g P/g TSS</t>
        </is>
      </c>
    </row>
    <row r="26">
      <c r="A26" s="2" t="inlineStr">
        <is>
          <t>Kinetic Parameters (Hydrolysis)</t>
        </is>
      </c>
      <c r="B26" s="2" t="inlineStr">
        <is>
          <t>K_H</t>
        </is>
      </c>
      <c r="C26" s="2" t="inlineStr">
        <is>
          <t>K_H</t>
        </is>
      </c>
      <c r="D26" s="2" t="inlineStr">
        <is>
          <t>Hydrolysis rate constant</t>
        </is>
      </c>
      <c r="E26" s="3" t="n">
        <v>3</v>
      </c>
      <c r="F26" s="2" t="inlineStr">
        <is>
          <t>d^-1</t>
        </is>
      </c>
    </row>
    <row r="27">
      <c r="A27" t="inlineStr">
        <is>
          <t>Kinetic Parameters (Hydrolysis)</t>
        </is>
      </c>
      <c r="B27" t="inlineStr">
        <is>
          <t>eta_hyd_NO3</t>
        </is>
      </c>
      <c r="C27" t="inlineStr">
        <is>
          <t>eta_hyd_NO3</t>
        </is>
      </c>
      <c r="D27" t="inlineStr">
        <is>
          <t>Anoxic hydrolysis reduction factor via nitrate</t>
        </is>
      </c>
      <c r="E27" s="4" t="n">
        <v>0.6</v>
      </c>
      <c r="F27" t="inlineStr">
        <is>
          <t>-</t>
        </is>
      </c>
    </row>
    <row r="28">
      <c r="A28" t="inlineStr">
        <is>
          <t>Kinetic Parameters (Hydrolysis)</t>
        </is>
      </c>
      <c r="B28" t="inlineStr">
        <is>
          <t>eta_hyd_NO2</t>
        </is>
      </c>
      <c r="C28" t="inlineStr">
        <is>
          <t>eta_hyd_NO2</t>
        </is>
      </c>
      <c r="D28" t="inlineStr">
        <is>
          <t>Anoxic hydrolysis reduction factor via nitrite</t>
        </is>
      </c>
      <c r="E28" s="4" t="n">
        <v>0.6</v>
      </c>
      <c r="F28" t="inlineStr">
        <is>
          <t>-</t>
        </is>
      </c>
    </row>
    <row r="29">
      <c r="A29" t="inlineStr">
        <is>
          <t>Kinetic Parameters (Hydrolysis)</t>
        </is>
      </c>
      <c r="B29" t="inlineStr">
        <is>
          <t>eta_hyd_fe</t>
        </is>
      </c>
      <c r="C29" t="inlineStr">
        <is>
          <t>eta_hyd_fe</t>
        </is>
      </c>
      <c r="D29" t="inlineStr">
        <is>
          <t>Anaerobic hydrolysis reduction factor</t>
        </is>
      </c>
      <c r="E29" s="4" t="n">
        <v>0.4</v>
      </c>
      <c r="F29" t="inlineStr">
        <is>
          <t>-</t>
        </is>
      </c>
    </row>
    <row r="30">
      <c r="A30" t="inlineStr">
        <is>
          <t>Kinetic Parameters (Hydrolysis)</t>
        </is>
      </c>
      <c r="B30" t="inlineStr">
        <is>
          <t>K_O_hyd</t>
        </is>
      </c>
      <c r="C30" t="inlineStr">
        <is>
          <t>K_O_hyd</t>
        </is>
      </c>
      <c r="D30" t="inlineStr">
        <is>
          <t>Oxygen saturation coefficient for hydrolysis</t>
        </is>
      </c>
      <c r="E30" s="4" t="n">
        <v>0.2</v>
      </c>
      <c r="F30" t="inlineStr">
        <is>
          <t>g O2/m^3</t>
        </is>
      </c>
    </row>
    <row r="31">
      <c r="A31" t="inlineStr">
        <is>
          <t>Kinetic Parameters (Hydrolysis)</t>
        </is>
      </c>
      <c r="B31" t="inlineStr">
        <is>
          <t>K_NO3_hyd</t>
        </is>
      </c>
      <c r="C31" t="inlineStr">
        <is>
          <t>K_NO3_hyd</t>
        </is>
      </c>
      <c r="D31" t="inlineStr">
        <is>
          <t>Nitrate saturation coefficient for hydrolysis</t>
        </is>
      </c>
      <c r="E31" s="4" t="n">
        <v>0.5</v>
      </c>
      <c r="F31" t="inlineStr">
        <is>
          <t>g N/m^3</t>
        </is>
      </c>
    </row>
    <row r="32">
      <c r="A32" t="inlineStr">
        <is>
          <t>Kinetic Parameters (Hydrolysis)</t>
        </is>
      </c>
      <c r="B32" t="inlineStr">
        <is>
          <t>K_NO2_hyd</t>
        </is>
      </c>
      <c r="C32" t="inlineStr">
        <is>
          <t>K_NO2_hyd</t>
        </is>
      </c>
      <c r="D32" t="inlineStr">
        <is>
          <t>Nitrite saturation coefficient for hydrolysis</t>
        </is>
      </c>
      <c r="E32" s="4" t="n">
        <v>0.5</v>
      </c>
      <c r="F32" t="inlineStr">
        <is>
          <t>g N/m^3</t>
        </is>
      </c>
    </row>
    <row r="33">
      <c r="A33" t="inlineStr">
        <is>
          <t>Kinetic Parameters (Hydrolysis)</t>
        </is>
      </c>
      <c r="B33" t="inlineStr">
        <is>
          <t>K_NOX_hyd</t>
        </is>
      </c>
      <c r="C33" t="inlineStr">
        <is>
          <t>K_NOX_hyd</t>
        </is>
      </c>
      <c r="D33" t="inlineStr">
        <is>
          <t>Nitrogen oxide inhibition term for anaerobic hydrolysis</t>
        </is>
      </c>
      <c r="E33" s="4" t="n">
        <v>0.5</v>
      </c>
      <c r="F33" t="inlineStr">
        <is>
          <t>g N/m^3</t>
        </is>
      </c>
    </row>
    <row r="34">
      <c r="A34" t="inlineStr">
        <is>
          <t>Kinetic Parameters (Hydrolysis)</t>
        </is>
      </c>
      <c r="B34" t="inlineStr">
        <is>
          <t>K_X</t>
        </is>
      </c>
      <c r="C34" t="inlineStr">
        <is>
          <t>K_X</t>
        </is>
      </c>
      <c r="D34" t="inlineStr">
        <is>
          <t>Saturation coefficient for particulate COD</t>
        </is>
      </c>
      <c r="E34" s="4" t="n">
        <v>0.1</v>
      </c>
      <c r="F34" t="inlineStr">
        <is>
          <t>g X_S/g X_H</t>
        </is>
      </c>
    </row>
    <row r="35">
      <c r="A35" s="2" t="inlineStr">
        <is>
          <t>Kinetic Parameters (Heterotrophs)</t>
        </is>
      </c>
      <c r="B35" s="2" t="inlineStr">
        <is>
          <t>mu_H</t>
        </is>
      </c>
      <c r="C35" s="2" t="inlineStr">
        <is>
          <t>mu_H</t>
        </is>
      </c>
      <c r="D35" s="2" t="inlineStr">
        <is>
          <t>Maximum growth rate on substrate</t>
        </is>
      </c>
      <c r="E35" s="3" t="n">
        <v>6</v>
      </c>
      <c r="F35" s="2" t="inlineStr">
        <is>
          <t>d^-1</t>
        </is>
      </c>
    </row>
    <row r="36">
      <c r="A36" t="inlineStr">
        <is>
          <t>Kinetic Parameters (Heterotrophs)</t>
        </is>
      </c>
      <c r="B36" t="inlineStr">
        <is>
          <t>q_Fe</t>
        </is>
      </c>
      <c r="C36" t="inlineStr">
        <is>
          <t>q_Fe</t>
        </is>
      </c>
      <c r="D36" t="inlineStr">
        <is>
          <t>Maximum rate factor for fermentation</t>
        </is>
      </c>
      <c r="E36" s="4" t="n">
        <v>3</v>
      </c>
      <c r="F36" t="inlineStr">
        <is>
          <t>-</t>
        </is>
      </c>
    </row>
    <row r="37">
      <c r="A37" t="inlineStr">
        <is>
          <t>Kinetic Parameters (Heterotrophs)</t>
        </is>
      </c>
      <c r="B37" t="inlineStr">
        <is>
          <t>eta_H_NO3</t>
        </is>
      </c>
      <c r="C37" t="inlineStr">
        <is>
          <t>eta_H_NO3</t>
        </is>
      </c>
      <c r="D37" t="inlineStr">
        <is>
          <t>Reduction factor for heterotrophic denitrification via nitrate</t>
        </is>
      </c>
      <c r="E37" s="4" t="n">
        <v>0.9</v>
      </c>
      <c r="F37" t="inlineStr">
        <is>
          <t>-</t>
        </is>
      </c>
    </row>
    <row r="38">
      <c r="A38" t="inlineStr">
        <is>
          <t>Kinetic Parameters (Heterotrophs)</t>
        </is>
      </c>
      <c r="B38" t="inlineStr">
        <is>
          <t>eta_H_NO2</t>
        </is>
      </c>
      <c r="C38" t="inlineStr">
        <is>
          <t>eta_H_NO2</t>
        </is>
      </c>
      <c r="D38" t="inlineStr">
        <is>
          <t>Reduction factor for heterotrophic denitrification via nitrite</t>
        </is>
      </c>
      <c r="E38" s="4" t="n">
        <v>0.9</v>
      </c>
      <c r="F38" t="inlineStr">
        <is>
          <t>-</t>
        </is>
      </c>
    </row>
    <row r="39">
      <c r="A39" t="inlineStr">
        <is>
          <t>Kinetic Parameters (Heterotrophs)</t>
        </is>
      </c>
      <c r="B39" t="inlineStr">
        <is>
          <t>b_H</t>
        </is>
      </c>
      <c r="C39" t="inlineStr">
        <is>
          <t>b_H</t>
        </is>
      </c>
      <c r="D39" t="inlineStr">
        <is>
          <t>Rate constant for lysis and decay</t>
        </is>
      </c>
      <c r="E39" s="4" t="n">
        <v>0.4</v>
      </c>
      <c r="F39" t="inlineStr">
        <is>
          <t>d^-1</t>
        </is>
      </c>
    </row>
    <row r="40">
      <c r="A40" t="inlineStr">
        <is>
          <t>Kinetic Parameters (Heterotrophs)</t>
        </is>
      </c>
      <c r="B40" t="inlineStr">
        <is>
          <t>K_O_H</t>
        </is>
      </c>
      <c r="C40" t="inlineStr">
        <is>
          <t>K_O_H</t>
        </is>
      </c>
      <c r="D40" t="inlineStr">
        <is>
          <t>Oxygen saturation coefficient for heterotrophs</t>
        </is>
      </c>
      <c r="E40" s="4" t="n">
        <v>0.2</v>
      </c>
      <c r="F40" t="inlineStr">
        <is>
          <t>g O2/m^3</t>
        </is>
      </c>
    </row>
    <row r="41">
      <c r="A41" t="inlineStr">
        <is>
          <t>Kinetic Parameters (Heterotrophs)</t>
        </is>
      </c>
      <c r="B41" t="inlineStr">
        <is>
          <t>K_F</t>
        </is>
      </c>
      <c r="C41" t="inlineStr">
        <is>
          <t>K_F</t>
        </is>
      </c>
      <c r="D41" t="inlineStr">
        <is>
          <t>Saturation coefficient for growth on S_F</t>
        </is>
      </c>
      <c r="E41" s="4" t="n">
        <v>4</v>
      </c>
      <c r="F41" t="inlineStr">
        <is>
          <t>g COD/m^3</t>
        </is>
      </c>
    </row>
    <row r="42">
      <c r="A42" t="inlineStr">
        <is>
          <t>Kinetic Parameters (Heterotrophs)</t>
        </is>
      </c>
      <c r="B42" t="inlineStr">
        <is>
          <t>K_fe</t>
        </is>
      </c>
      <c r="C42" t="inlineStr">
        <is>
          <t>K_fe</t>
        </is>
      </c>
      <c r="D42" t="inlineStr">
        <is>
          <t>Saturation coefficient for fermentation of S_F</t>
        </is>
      </c>
      <c r="E42" s="4" t="n">
        <v>4</v>
      </c>
      <c r="F42" t="inlineStr">
        <is>
          <t>g COD/m^3</t>
        </is>
      </c>
    </row>
    <row r="43">
      <c r="A43" t="inlineStr">
        <is>
          <t>Kinetic Parameters (Heterotrophs)</t>
        </is>
      </c>
      <c r="B43" t="inlineStr">
        <is>
          <t>K_A</t>
        </is>
      </c>
      <c r="C43" t="inlineStr">
        <is>
          <t>K_A</t>
        </is>
      </c>
      <c r="D43" t="inlineStr">
        <is>
          <t>Saturation coefficient for S_A</t>
        </is>
      </c>
      <c r="E43" s="4" t="n">
        <v>4</v>
      </c>
      <c r="F43" t="inlineStr">
        <is>
          <t>g COD/m^3</t>
        </is>
      </c>
    </row>
    <row r="44">
      <c r="A44" t="inlineStr">
        <is>
          <t>Kinetic Parameters (Heterotrophs)</t>
        </is>
      </c>
      <c r="B44" t="inlineStr">
        <is>
          <t>K_NO3_H</t>
        </is>
      </c>
      <c r="C44" t="inlineStr">
        <is>
          <t>K_NO3_H</t>
        </is>
      </c>
      <c r="D44" t="inlineStr">
        <is>
          <t>Nitrate saturation coefficient for heterotrophs</t>
        </is>
      </c>
      <c r="E44" s="4" t="n">
        <v>0.5</v>
      </c>
      <c r="F44" t="inlineStr">
        <is>
          <t>g N/m^3</t>
        </is>
      </c>
    </row>
    <row r="45">
      <c r="A45" t="inlineStr">
        <is>
          <t>Kinetic Parameters (Heterotrophs)</t>
        </is>
      </c>
      <c r="B45" t="inlineStr">
        <is>
          <t>K_NO2_H</t>
        </is>
      </c>
      <c r="C45" t="inlineStr">
        <is>
          <t>K_NO2_H</t>
        </is>
      </c>
      <c r="D45" t="inlineStr">
        <is>
          <t>Nitrite saturation coefficient for heterotrophs</t>
        </is>
      </c>
      <c r="E45" s="4" t="n">
        <v>0.5</v>
      </c>
      <c r="F45" t="inlineStr">
        <is>
          <t>g N/m^3</t>
        </is>
      </c>
    </row>
    <row r="46">
      <c r="A46" t="inlineStr">
        <is>
          <t>Kinetic Parameters (Heterotrophs)</t>
        </is>
      </c>
      <c r="B46" t="inlineStr">
        <is>
          <t>K_NOX_H</t>
        </is>
      </c>
      <c r="C46" t="inlineStr">
        <is>
          <t>K_NOX_H</t>
        </is>
      </c>
      <c r="D46" t="inlineStr">
        <is>
          <t>Nitrogen oxide inhibition term for fermentation</t>
        </is>
      </c>
      <c r="E46" s="4" t="n">
        <v>0.5</v>
      </c>
      <c r="F46" t="inlineStr">
        <is>
          <t>g N/m^3</t>
        </is>
      </c>
    </row>
    <row r="47">
      <c r="A47" t="inlineStr">
        <is>
          <t>Kinetic Parameters (Heterotrophs)</t>
        </is>
      </c>
      <c r="B47" t="inlineStr">
        <is>
          <t>K_NH4_H</t>
        </is>
      </c>
      <c r="C47" t="inlineStr">
        <is>
          <t>K_NH4_H</t>
        </is>
      </c>
      <c r="D47" t="inlineStr">
        <is>
          <t>Ammonium saturation coefficient for heterotrophs</t>
        </is>
      </c>
      <c r="E47" s="4" t="n">
        <v>0.05</v>
      </c>
      <c r="F47" t="inlineStr">
        <is>
          <t>g N/m^3</t>
        </is>
      </c>
    </row>
    <row r="48">
      <c r="A48" t="inlineStr">
        <is>
          <t>Kinetic Parameters (Heterotrophs)</t>
        </is>
      </c>
      <c r="B48" t="inlineStr">
        <is>
          <t>K_PO4_H</t>
        </is>
      </c>
      <c r="C48" t="inlineStr">
        <is>
          <t>K_PO4_H</t>
        </is>
      </c>
      <c r="D48" t="inlineStr">
        <is>
          <t>Phosphate saturation coefficient for heterotrophs</t>
        </is>
      </c>
      <c r="E48" s="4" t="n">
        <v>0.01</v>
      </c>
      <c r="F48" t="inlineStr">
        <is>
          <t>g P/m^3</t>
        </is>
      </c>
    </row>
    <row r="49">
      <c r="A49" t="inlineStr">
        <is>
          <t>Kinetic Parameters (Heterotrophs)</t>
        </is>
      </c>
      <c r="B49" t="inlineStr">
        <is>
          <t>K_ALK_H</t>
        </is>
      </c>
      <c r="C49" t="inlineStr">
        <is>
          <t>K_ALK_H</t>
        </is>
      </c>
      <c r="D49" t="inlineStr">
        <is>
          <t>Alkalinity saturation coefficient for heterotrophs</t>
        </is>
      </c>
      <c r="E49" s="4" t="n">
        <v>0.1</v>
      </c>
      <c r="F49" t="inlineStr">
        <is>
          <t>mol HCO3-/m^3</t>
        </is>
      </c>
    </row>
    <row r="50">
      <c r="A50" s="2" t="inlineStr">
        <is>
          <t>Kinetic Parameters (PAOs)</t>
        </is>
      </c>
      <c r="B50" s="2" t="inlineStr">
        <is>
          <t>q_PHA</t>
        </is>
      </c>
      <c r="C50" s="2" t="inlineStr">
        <is>
          <t>q_PHA</t>
        </is>
      </c>
      <c r="D50" s="2" t="inlineStr">
        <is>
          <t>Rate constant for storage of X_PHA</t>
        </is>
      </c>
      <c r="E50" s="3" t="n">
        <v>5</v>
      </c>
      <c r="F50" s="2" t="inlineStr">
        <is>
          <t>d^-1</t>
        </is>
      </c>
    </row>
    <row r="51">
      <c r="A51" t="inlineStr">
        <is>
          <t>Kinetic Parameters (PAOs)</t>
        </is>
      </c>
      <c r="B51" t="inlineStr">
        <is>
          <t>q_PP</t>
        </is>
      </c>
      <c r="C51" t="inlineStr">
        <is>
          <t>q_PP</t>
        </is>
      </c>
      <c r="D51" t="inlineStr">
        <is>
          <t>Rate constant for storage of X_PP</t>
        </is>
      </c>
      <c r="E51" s="4" t="n">
        <v>0.6</v>
      </c>
      <c r="F51" t="inlineStr">
        <is>
          <t>d^-1</t>
        </is>
      </c>
    </row>
    <row r="52">
      <c r="A52" t="inlineStr">
        <is>
          <t>Kinetic Parameters (PAOs)</t>
        </is>
      </c>
      <c r="B52" t="inlineStr">
        <is>
          <t>mu_PAO</t>
        </is>
      </c>
      <c r="C52" t="inlineStr">
        <is>
          <t>mu_PAO</t>
        </is>
      </c>
      <c r="D52" t="inlineStr">
        <is>
          <t>Maximum growth rate of PAO</t>
        </is>
      </c>
      <c r="E52" s="4" t="n">
        <v>0.5600000000000001</v>
      </c>
      <c r="F52" t="inlineStr">
        <is>
          <t>d^-1</t>
        </is>
      </c>
    </row>
    <row r="53">
      <c r="A53" t="inlineStr">
        <is>
          <t>Kinetic Parameters (PAOs)</t>
        </is>
      </c>
      <c r="B53" t="inlineStr">
        <is>
          <t>eta_PAO_NO3</t>
        </is>
      </c>
      <c r="C53" t="inlineStr">
        <is>
          <t>eta_PAO_NO3</t>
        </is>
      </c>
      <c r="D53" t="inlineStr">
        <is>
          <t>Reduction factor for PAO denitrification via nitrate</t>
        </is>
      </c>
      <c r="E53" s="4" t="n">
        <v>0.07000000000000001</v>
      </c>
      <c r="F53" t="inlineStr">
        <is>
          <t>-</t>
        </is>
      </c>
    </row>
    <row r="54">
      <c r="A54" t="inlineStr">
        <is>
          <t>Kinetic Parameters (PAOs)</t>
        </is>
      </c>
      <c r="B54" t="inlineStr">
        <is>
          <t>eta_PAO_NO2</t>
        </is>
      </c>
      <c r="C54" t="inlineStr">
        <is>
          <t>eta_PAO_NO2</t>
        </is>
      </c>
      <c r="D54" t="inlineStr">
        <is>
          <t>Reduction factor for PAO denitrification via nitrite</t>
        </is>
      </c>
      <c r="E54" s="4" t="n">
        <v>0.9</v>
      </c>
      <c r="F54" t="inlineStr">
        <is>
          <t>-</t>
        </is>
      </c>
    </row>
    <row r="55">
      <c r="A55" t="inlineStr">
        <is>
          <t>Kinetic Parameters (PAOs)</t>
        </is>
      </c>
      <c r="B55" t="inlineStr">
        <is>
          <t>b_PAO</t>
        </is>
      </c>
      <c r="C55" t="inlineStr">
        <is>
          <t>b_PAO</t>
        </is>
      </c>
      <c r="D55" t="inlineStr">
        <is>
          <t>Lysis rate of X_PAO</t>
        </is>
      </c>
      <c r="E55" s="4" t="n">
        <v>0.2</v>
      </c>
      <c r="F55" t="inlineStr">
        <is>
          <t>d^-1</t>
        </is>
      </c>
    </row>
    <row r="56">
      <c r="A56" t="inlineStr">
        <is>
          <t>Kinetic Parameters (PAOs)</t>
        </is>
      </c>
      <c r="B56" t="inlineStr">
        <is>
          <t>b_PP</t>
        </is>
      </c>
      <c r="C56" t="inlineStr">
        <is>
          <t>b_PP</t>
        </is>
      </c>
      <c r="D56" t="inlineStr">
        <is>
          <t>Lysis rate of X_PP</t>
        </is>
      </c>
      <c r="E56" s="4" t="n">
        <v>0.2</v>
      </c>
      <c r="F56" t="inlineStr">
        <is>
          <t>d^-1</t>
        </is>
      </c>
    </row>
    <row r="57">
      <c r="A57" t="inlineStr">
        <is>
          <t>Kinetic Parameters (PAOs)</t>
        </is>
      </c>
      <c r="B57" t="inlineStr">
        <is>
          <t>b_PHA</t>
        </is>
      </c>
      <c r="C57" t="inlineStr">
        <is>
          <t>b_PHA</t>
        </is>
      </c>
      <c r="D57" t="inlineStr">
        <is>
          <t>Lysis rate of X_PHA</t>
        </is>
      </c>
      <c r="E57" s="4" t="n">
        <v>0.2</v>
      </c>
      <c r="F57" t="inlineStr">
        <is>
          <t>d^-1</t>
        </is>
      </c>
    </row>
    <row r="58">
      <c r="A58" t="inlineStr">
        <is>
          <t>Kinetic Parameters (PAOs)</t>
        </is>
      </c>
      <c r="B58" t="inlineStr">
        <is>
          <t>K_O_PAO</t>
        </is>
      </c>
      <c r="C58" t="inlineStr">
        <is>
          <t>K_O_PAO</t>
        </is>
      </c>
      <c r="D58" t="inlineStr">
        <is>
          <t>Oxygen saturation coefficient for PAO</t>
        </is>
      </c>
      <c r="E58" s="4" t="n">
        <v>0.2</v>
      </c>
      <c r="F58" t="inlineStr">
        <is>
          <t>g O2/m^3</t>
        </is>
      </c>
    </row>
    <row r="59">
      <c r="A59" t="inlineStr">
        <is>
          <t>Kinetic Parameters (PAOs)</t>
        </is>
      </c>
      <c r="B59" t="inlineStr">
        <is>
          <t>K_NO3_PAO</t>
        </is>
      </c>
      <c r="C59" t="inlineStr">
        <is>
          <t>K_NO3_PAO</t>
        </is>
      </c>
      <c r="D59" t="inlineStr">
        <is>
          <t>Nitrate saturation coefficient for PAO</t>
        </is>
      </c>
      <c r="E59" s="4" t="n">
        <v>0.5</v>
      </c>
      <c r="F59" t="inlineStr">
        <is>
          <t>g N/m^3</t>
        </is>
      </c>
    </row>
    <row r="60">
      <c r="A60" t="inlineStr">
        <is>
          <t>Kinetic Parameters (PAOs)</t>
        </is>
      </c>
      <c r="B60" t="inlineStr">
        <is>
          <t>K_NO2_PAO</t>
        </is>
      </c>
      <c r="C60" t="inlineStr">
        <is>
          <t>K_NO2_PAO</t>
        </is>
      </c>
      <c r="D60" t="inlineStr">
        <is>
          <t>Nitrite saturation coefficient for PAO</t>
        </is>
      </c>
      <c r="E60" s="4" t="n">
        <v>0.5</v>
      </c>
      <c r="F60" t="inlineStr">
        <is>
          <t>g N/m^3</t>
        </is>
      </c>
    </row>
    <row r="61">
      <c r="A61" t="inlineStr">
        <is>
          <t>Kinetic Parameters (PAOs)</t>
        </is>
      </c>
      <c r="B61" t="inlineStr">
        <is>
          <t>K_NOX_PAO</t>
        </is>
      </c>
      <c r="C61" t="inlineStr">
        <is>
          <t>K_NOX_PAO</t>
        </is>
      </c>
      <c r="D61" t="inlineStr">
        <is>
          <t>Nitrogen oxide saturation coefficient reported for PAO</t>
        </is>
      </c>
      <c r="E61" s="4" t="n">
        <v>0.5</v>
      </c>
      <c r="F61" t="inlineStr">
        <is>
          <t>g N/m^3</t>
        </is>
      </c>
    </row>
    <row r="62">
      <c r="A62" t="inlineStr">
        <is>
          <t>Kinetic Parameters (PAOs)</t>
        </is>
      </c>
      <c r="B62" t="inlineStr">
        <is>
          <t>K_NH4_PAO</t>
        </is>
      </c>
      <c r="C62" t="inlineStr">
        <is>
          <t>K_NH4_PAO</t>
        </is>
      </c>
      <c r="D62" t="inlineStr">
        <is>
          <t>Ammonium saturation coefficient for PAO growth</t>
        </is>
      </c>
      <c r="E62" s="4" t="n">
        <v>0.05</v>
      </c>
      <c r="F62" t="inlineStr">
        <is>
          <t>g N/m^3</t>
        </is>
      </c>
    </row>
    <row r="63">
      <c r="A63" t="inlineStr">
        <is>
          <t>Kinetic Parameters (PAOs)</t>
        </is>
      </c>
      <c r="B63" t="inlineStr">
        <is>
          <t>K_PS</t>
        </is>
      </c>
      <c r="C63" t="inlineStr">
        <is>
          <t>K_PS</t>
        </is>
      </c>
      <c r="D63" t="inlineStr">
        <is>
          <t>Phosphorus saturation coefficient for PP storage</t>
        </is>
      </c>
      <c r="E63" s="4" t="n">
        <v>0.2</v>
      </c>
      <c r="F63" t="inlineStr">
        <is>
          <t>g P/m^3</t>
        </is>
      </c>
    </row>
    <row r="64">
      <c r="A64" t="inlineStr">
        <is>
          <t>Kinetic Parameters (PAOs)</t>
        </is>
      </c>
      <c r="B64" t="inlineStr">
        <is>
          <t>K_PO4_PAO</t>
        </is>
      </c>
      <c r="C64" t="inlineStr">
        <is>
          <t>K_PO4_PAO</t>
        </is>
      </c>
      <c r="D64" t="inlineStr">
        <is>
          <t>Phosphate saturation coefficient for PAO growth</t>
        </is>
      </c>
      <c r="E64" s="4" t="n">
        <v>0.01</v>
      </c>
      <c r="F64" t="inlineStr">
        <is>
          <t>g P/m^3</t>
        </is>
      </c>
    </row>
    <row r="65">
      <c r="A65" t="inlineStr">
        <is>
          <t>Kinetic Parameters (PAOs)</t>
        </is>
      </c>
      <c r="B65" t="inlineStr">
        <is>
          <t>K_ALK_PAO</t>
        </is>
      </c>
      <c r="C65" t="inlineStr">
        <is>
          <t>K_ALK_PAO</t>
        </is>
      </c>
      <c r="D65" t="inlineStr">
        <is>
          <t>Alkalinity saturation coefficient for PAO</t>
        </is>
      </c>
      <c r="E65" s="4" t="n">
        <v>0.1</v>
      </c>
      <c r="F65" t="inlineStr">
        <is>
          <t>mol HCO3-/m^3</t>
        </is>
      </c>
    </row>
    <row r="66">
      <c r="A66" t="inlineStr">
        <is>
          <t>Kinetic Parameters (PAOs)</t>
        </is>
      </c>
      <c r="B66" t="inlineStr">
        <is>
          <t>K_PP</t>
        </is>
      </c>
      <c r="C66" t="inlineStr">
        <is>
          <t>K_PP</t>
        </is>
      </c>
      <c r="D66" t="inlineStr">
        <is>
          <t>Poly-phosphate saturation coefficient</t>
        </is>
      </c>
      <c r="E66" s="4" t="n">
        <v>0.01</v>
      </c>
      <c r="F66" t="inlineStr">
        <is>
          <t>g X_PP/g X_PAO</t>
        </is>
      </c>
    </row>
    <row r="67">
      <c r="A67" t="inlineStr">
        <is>
          <t>Kinetic Parameters (PAOs)</t>
        </is>
      </c>
      <c r="B67" t="inlineStr">
        <is>
          <t>K_MAX</t>
        </is>
      </c>
      <c r="C67" t="inlineStr">
        <is>
          <t>K_MAX</t>
        </is>
      </c>
      <c r="D67" t="inlineStr">
        <is>
          <t>Maximum X_PP to X_PAO ratio</t>
        </is>
      </c>
      <c r="E67" s="4" t="n">
        <v>0.34</v>
      </c>
      <c r="F67" t="inlineStr">
        <is>
          <t>g X_PP/g X_PAO</t>
        </is>
      </c>
    </row>
    <row r="68">
      <c r="A68" t="inlineStr">
        <is>
          <t>Kinetic Parameters (PAOs)</t>
        </is>
      </c>
      <c r="B68" t="inlineStr">
        <is>
          <t>K_IPP</t>
        </is>
      </c>
      <c r="C68" t="inlineStr">
        <is>
          <t>K_IPP</t>
        </is>
      </c>
      <c r="D68" t="inlineStr">
        <is>
          <t>Inhibition coefficient for PP storage</t>
        </is>
      </c>
      <c r="E68" s="4" t="n">
        <v>0.02</v>
      </c>
      <c r="F68" t="inlineStr">
        <is>
          <t>g X_PP/g X_PAO</t>
        </is>
      </c>
    </row>
    <row r="69">
      <c r="A69" t="inlineStr">
        <is>
          <t>Kinetic Parameters (PAOs)</t>
        </is>
      </c>
      <c r="B69" t="inlineStr">
        <is>
          <t>K_PHA</t>
        </is>
      </c>
      <c r="C69" t="inlineStr">
        <is>
          <t>K_PHA</t>
        </is>
      </c>
      <c r="D69" t="inlineStr">
        <is>
          <t>PHA saturation coefficient</t>
        </is>
      </c>
      <c r="E69" s="4" t="n">
        <v>0.01</v>
      </c>
      <c r="F69" t="inlineStr">
        <is>
          <t>g X_PHA/g X_PAO</t>
        </is>
      </c>
    </row>
    <row r="70">
      <c r="A70" s="2" t="inlineStr">
        <is>
          <t>Kinetic Parameters (AOB and NOB)</t>
        </is>
      </c>
      <c r="B70" s="2" t="inlineStr">
        <is>
          <t>mu_AOB</t>
        </is>
      </c>
      <c r="C70" s="2" t="inlineStr">
        <is>
          <t>mu_AOB</t>
        </is>
      </c>
      <c r="D70" s="2" t="inlineStr">
        <is>
          <t>Maximum growth rate of AOB</t>
        </is>
      </c>
      <c r="E70" s="3" t="n">
        <v>1.81</v>
      </c>
      <c r="F70" s="2" t="inlineStr">
        <is>
          <t>d^-1</t>
        </is>
      </c>
    </row>
    <row r="71">
      <c r="A71" t="inlineStr">
        <is>
          <t>Kinetic Parameters (AOB and NOB)</t>
        </is>
      </c>
      <c r="B71" t="inlineStr">
        <is>
          <t>mu_NOB</t>
        </is>
      </c>
      <c r="C71" t="inlineStr">
        <is>
          <t>mu_NOB</t>
        </is>
      </c>
      <c r="D71" t="inlineStr">
        <is>
          <t>Maximum growth rate of NOB</t>
        </is>
      </c>
      <c r="E71" s="4" t="n">
        <v>1.52</v>
      </c>
      <c r="F71" t="inlineStr">
        <is>
          <t>d^-1</t>
        </is>
      </c>
    </row>
    <row r="72">
      <c r="A72" t="inlineStr">
        <is>
          <t>Kinetic Parameters (AOB and NOB)</t>
        </is>
      </c>
      <c r="B72" t="inlineStr">
        <is>
          <t>b_AOB</t>
        </is>
      </c>
      <c r="C72" t="inlineStr">
        <is>
          <t>b_AOB</t>
        </is>
      </c>
      <c r="D72" t="inlineStr">
        <is>
          <t>Decay rate of AOB</t>
        </is>
      </c>
      <c r="E72" s="4" t="n">
        <v>0.2</v>
      </c>
      <c r="F72" t="inlineStr">
        <is>
          <t>d^-1</t>
        </is>
      </c>
    </row>
    <row r="73">
      <c r="A73" t="inlineStr">
        <is>
          <t>Kinetic Parameters (AOB and NOB)</t>
        </is>
      </c>
      <c r="B73" t="inlineStr">
        <is>
          <t>b_NOB</t>
        </is>
      </c>
      <c r="C73" t="inlineStr">
        <is>
          <t>b_NOB</t>
        </is>
      </c>
      <c r="D73" t="inlineStr">
        <is>
          <t>Decay rate of NOB</t>
        </is>
      </c>
      <c r="E73" s="4" t="n">
        <v>0.17</v>
      </c>
      <c r="F73" t="inlineStr">
        <is>
          <t>d^-1</t>
        </is>
      </c>
    </row>
    <row r="74">
      <c r="A74" t="inlineStr">
        <is>
          <t>Kinetic Parameters (AOB and NOB)</t>
        </is>
      </c>
      <c r="B74" t="inlineStr">
        <is>
          <t>K_O_AOB</t>
        </is>
      </c>
      <c r="C74" t="inlineStr">
        <is>
          <t>K_O_AOB</t>
        </is>
      </c>
      <c r="D74" t="inlineStr">
        <is>
          <t>Oxygen saturation coefficient for AOB</t>
        </is>
      </c>
      <c r="E74" s="4" t="n">
        <v>0.74</v>
      </c>
      <c r="F74" t="inlineStr">
        <is>
          <t>g O2/m^3</t>
        </is>
      </c>
    </row>
    <row r="75">
      <c r="A75" t="inlineStr">
        <is>
          <t>Kinetic Parameters (AOB and NOB)</t>
        </is>
      </c>
      <c r="B75" t="inlineStr">
        <is>
          <t>K_O_NOB</t>
        </is>
      </c>
      <c r="C75" t="inlineStr">
        <is>
          <t>K_O_NOB</t>
        </is>
      </c>
      <c r="D75" t="inlineStr">
        <is>
          <t>Oxygen saturation coefficient for NOB</t>
        </is>
      </c>
      <c r="E75" s="4" t="n">
        <v>1.75</v>
      </c>
      <c r="F75" t="inlineStr">
        <is>
          <t>g O2/m^3</t>
        </is>
      </c>
    </row>
    <row r="76">
      <c r="A76" t="inlineStr">
        <is>
          <t>Kinetic Parameters (AOB and NOB)</t>
        </is>
      </c>
      <c r="B76" t="inlineStr">
        <is>
          <t>K_NH4_AOB</t>
        </is>
      </c>
      <c r="C76" t="inlineStr">
        <is>
          <t>K_NH4_AOB</t>
        </is>
      </c>
      <c r="D76" t="inlineStr">
        <is>
          <t>Ammonium saturation coefficient for AOB</t>
        </is>
      </c>
      <c r="E76" s="4" t="n">
        <v>0.5</v>
      </c>
      <c r="F76" t="inlineStr">
        <is>
          <t>g N/m^3</t>
        </is>
      </c>
    </row>
    <row r="77">
      <c r="A77" t="inlineStr">
        <is>
          <t>Kinetic Parameters (AOB and NOB)</t>
        </is>
      </c>
      <c r="B77" t="inlineStr">
        <is>
          <t>K_NO2_NOB</t>
        </is>
      </c>
      <c r="C77" t="inlineStr">
        <is>
          <t>K_NO2_NOB</t>
        </is>
      </c>
      <c r="D77" t="inlineStr">
        <is>
          <t>Nitrite saturation coefficient for NOB</t>
        </is>
      </c>
      <c r="E77" s="4" t="n">
        <v>0.5</v>
      </c>
      <c r="F77" t="inlineStr">
        <is>
          <t>g N/m^3</t>
        </is>
      </c>
    </row>
    <row r="78">
      <c r="A78" t="inlineStr">
        <is>
          <t>Kinetic Parameters (AOB and NOB)</t>
        </is>
      </c>
      <c r="B78" t="inlineStr">
        <is>
          <t>K_ALK_nit</t>
        </is>
      </c>
      <c r="C78" t="inlineStr">
        <is>
          <t>K_ALK_nit</t>
        </is>
      </c>
      <c r="D78" t="inlineStr">
        <is>
          <t>Alkalinity saturation coefficient for nitrifiers</t>
        </is>
      </c>
      <c r="E78" s="4" t="n">
        <v>0.5</v>
      </c>
      <c r="F78" t="inlineStr">
        <is>
          <t>mol HCO3-/m^3</t>
        </is>
      </c>
    </row>
    <row r="79">
      <c r="A79" t="inlineStr">
        <is>
          <t>Kinetic Parameters (AOB and NOB)</t>
        </is>
      </c>
      <c r="B79" t="inlineStr">
        <is>
          <t>K_PO4_nit</t>
        </is>
      </c>
      <c r="C79" t="inlineStr">
        <is>
          <t>K_PO4_nit</t>
        </is>
      </c>
      <c r="D79" t="inlineStr">
        <is>
          <t>Phosphate saturation coefficient for nitrifiers</t>
        </is>
      </c>
      <c r="E79" s="4" t="n">
        <v>0.01</v>
      </c>
      <c r="F79" t="inlineStr">
        <is>
          <t>g P/m^3</t>
        </is>
      </c>
    </row>
    <row r="80">
      <c r="A80" s="2" t="inlineStr">
        <is>
          <t>Precipitation Parameters</t>
        </is>
      </c>
      <c r="B80" s="2" t="inlineStr">
        <is>
          <t>k_PRE</t>
        </is>
      </c>
      <c r="C80" s="2" t="inlineStr">
        <is>
          <t>k_PRE</t>
        </is>
      </c>
      <c r="D80" s="2" t="inlineStr">
        <is>
          <t>Rate constant for phosphorus precipitation</t>
        </is>
      </c>
      <c r="E80" s="3" t="n">
        <v>1</v>
      </c>
      <c r="F80" s="2" t="inlineStr">
        <is>
          <t>m^3/(g Fe(OH)3*d)</t>
        </is>
      </c>
    </row>
    <row r="81">
      <c r="A81" t="inlineStr">
        <is>
          <t>Precipitation Parameters</t>
        </is>
      </c>
      <c r="B81" t="inlineStr">
        <is>
          <t>k_RED</t>
        </is>
      </c>
      <c r="C81" t="inlineStr">
        <is>
          <t>k_RED</t>
        </is>
      </c>
      <c r="D81" t="inlineStr">
        <is>
          <t>Rate constant for redissolution</t>
        </is>
      </c>
      <c r="E81" s="4" t="n">
        <v>0.6</v>
      </c>
      <c r="F81" t="inlineStr">
        <is>
          <t>d^-1</t>
        </is>
      </c>
    </row>
    <row r="82">
      <c r="A82" t="inlineStr">
        <is>
          <t>Precipitation Parameters</t>
        </is>
      </c>
      <c r="B82" t="inlineStr">
        <is>
          <t>K_ALK_chem</t>
        </is>
      </c>
      <c r="C82" t="inlineStr">
        <is>
          <t>K_ALK_chem</t>
        </is>
      </c>
      <c r="D82" t="inlineStr">
        <is>
          <t>Alkalinity saturation coefficient for redissolution</t>
        </is>
      </c>
      <c r="E82" s="4" t="n">
        <v>0.5</v>
      </c>
      <c r="F82" t="inlineStr">
        <is>
          <t>mol HCO3-/m^3</t>
        </is>
      </c>
    </row>
  </sheetData>
  <autoFilter ref="A1:F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2026-04-08T23:33:48Z</dcterms:created>
  <dcterms:modified xsi:type="dcterms:W3CDTF">2026-04-08T23:33:48Z</dcterms:modified>
</cp:coreProperties>
</file>