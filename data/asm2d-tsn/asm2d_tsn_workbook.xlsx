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ichiometric_matrix" sheetId="1" state="visible" r:id="rId1"/>
    <sheet name="composition_matrix" sheetId="2" state="visible" r:id="rId2"/>
    <sheet name="parameter_table" sheetId="3" state="visible" r:id="rId3"/>
  </sheets>
  <definedNames>
    <definedName name="_xlnm._FilterDatabase" localSheetId="0" hidden="1">'stoichiometric_matrix'!$A$1:$W$29</definedName>
    <definedName name="_xlnm._FilterDatabase" localSheetId="1" hidden="1">'composition_matrix'!$A$1:$I$22</definedName>
    <definedName name="_xlnm._FilterDatabase" localSheetId="2" hidden="1">'parameter_table'!$A$1:$F$66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#####"/>
  </numFmts>
  <fonts count="2">
    <font>
      <name val="Calibri"/>
      <family val="2"/>
      <color theme="1"/>
      <sz val="11"/>
      <scheme val="minor"/>
    </font>
    <font>
      <b val="1"/>
      <color rgb="0022303C"/>
    </font>
  </fonts>
  <fills count="4">
    <fill>
      <patternFill/>
    </fill>
    <fill>
      <patternFill patternType="gray125"/>
    </fill>
    <fill>
      <patternFill patternType="solid">
        <fgColor rgb="00D8DEE6"/>
      </patternFill>
    </fill>
    <fill>
      <patternFill patternType="solid">
        <fgColor rgb="00EE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7" customWidth="1" min="2" max="2"/>
    <col width="28" customWidth="1" min="3" max="3"/>
    <col width="28" customWidth="1" min="4" max="4"/>
    <col width="25" customWidth="1" min="5" max="5"/>
    <col width="48" customWidth="1" min="6" max="6"/>
    <col width="48" customWidth="1" min="7" max="7"/>
    <col width="48" customWidth="1" min="8" max="8"/>
    <col width="48" customWidth="1" min="9" max="9"/>
    <col width="48" customWidth="1" min="10" max="10"/>
    <col width="30" customWidth="1" min="11" max="11"/>
    <col width="48" customWidth="1" min="12" max="12"/>
    <col width="25" customWidth="1" min="13" max="13"/>
    <col width="27" customWidth="1" min="14" max="14"/>
    <col width="12" customWidth="1" min="15" max="15"/>
    <col width="26" customWidth="1" min="16" max="16"/>
    <col width="12" customWidth="1" min="17" max="17"/>
    <col width="28" customWidth="1" min="18" max="18"/>
    <col width="12" customWidth="1" min="19" max="19"/>
    <col width="12" customWidth="1" min="20" max="20"/>
    <col width="48" customWidth="1" min="21" max="21"/>
    <col width="12" customWidth="1" min="22" max="22"/>
    <col width="12" customWidth="1" min="23" max="23"/>
  </cols>
  <sheetData>
    <row r="1">
      <c r="A1" s="1" t="inlineStr">
        <is>
          <t>process_index</t>
        </is>
      </c>
      <c r="B1" s="1" t="inlineStr">
        <is>
          <t>process</t>
        </is>
      </c>
      <c r="C1" s="1" t="inlineStr">
        <is>
          <t>S_A</t>
        </is>
      </c>
      <c r="D1" s="1" t="inlineStr">
        <is>
          <t>S_F</t>
        </is>
      </c>
      <c r="E1" s="1" t="inlineStr">
        <is>
          <t>S_I</t>
        </is>
      </c>
      <c r="F1" s="1" t="inlineStr">
        <is>
          <t>S_N2</t>
        </is>
      </c>
      <c r="G1" s="1" t="inlineStr">
        <is>
          <t>S_NH4</t>
        </is>
      </c>
      <c r="H1" s="1" t="inlineStr">
        <is>
          <t>S_NO2</t>
        </is>
      </c>
      <c r="I1" s="1" t="inlineStr">
        <is>
          <t>S_NO3</t>
        </is>
      </c>
      <c r="J1" s="1" t="inlineStr">
        <is>
          <t>S_PO4</t>
        </is>
      </c>
      <c r="K1" s="1" t="inlineStr">
        <is>
          <t>S_ALK</t>
        </is>
      </c>
      <c r="L1" s="1" t="inlineStr">
        <is>
          <t>S_O2</t>
        </is>
      </c>
      <c r="M1" s="1" t="inlineStr">
        <is>
          <t>X_I</t>
        </is>
      </c>
      <c r="N1" s="1" t="inlineStr">
        <is>
          <t>X_S</t>
        </is>
      </c>
      <c r="O1" s="1" t="inlineStr">
        <is>
          <t>X_H</t>
        </is>
      </c>
      <c r="P1" s="1" t="inlineStr">
        <is>
          <t>X_PAO</t>
        </is>
      </c>
      <c r="Q1" s="1" t="inlineStr">
        <is>
          <t>X_PP</t>
        </is>
      </c>
      <c r="R1" s="1" t="inlineStr">
        <is>
          <t>X_PHA</t>
        </is>
      </c>
      <c r="S1" s="1" t="inlineStr">
        <is>
          <t>X_AOB</t>
        </is>
      </c>
      <c r="T1" s="1" t="inlineStr">
        <is>
          <t>X_NOB</t>
        </is>
      </c>
      <c r="U1" s="1" t="inlineStr">
        <is>
          <t>X_TSS</t>
        </is>
      </c>
      <c r="V1" s="1" t="inlineStr">
        <is>
          <t>X_MeOH</t>
        </is>
      </c>
      <c r="W1" s="1" t="inlineStr">
        <is>
          <t>X_MeP</t>
        </is>
      </c>
    </row>
    <row r="2">
      <c r="A2" t="n">
        <v>1</v>
      </c>
      <c r="B2" t="inlineStr">
        <is>
          <t>Aerobic hydrolysis</t>
        </is>
      </c>
      <c r="D2">
        <f>1-'parameter_table'!$E$8</f>
        <v/>
      </c>
      <c r="E2">
        <f>'parameter_table'!$E$8</f>
        <v/>
      </c>
      <c r="G2">
        <f>-(D2*('parameter_table'!$E$12)+E2*('parameter_table'!$E$14)+F2+H2+I2+M2*('parameter_table'!$E$18)+N2*('parameter_table'!$E$16)+O2*('parameter_table'!$E$10)+P2*('parameter_table'!$E$10)+S2*('parameter_table'!$E$10)+T2*('parameter_table'!$E$10))</f>
        <v/>
      </c>
      <c r="J2">
        <f>-(D2*('parameter_table'!$E$13)+E2*('parameter_table'!$E$15)+M2*('parameter_table'!$E$19)+N2*('parameter_table'!$E$17)+O2*('parameter_table'!$E$11)+P2*('parameter_table'!$E$11)+Q2+S2*('parameter_table'!$E$11)+T2*('parameter_table'!$E$11)+W2*('parameter_table'!$E$27))</f>
        <v/>
      </c>
      <c r="K2">
        <f>G2/14-H2/14-I2/14+J2/31</f>
        <v/>
      </c>
      <c r="N2">
        <f>-1</f>
        <v/>
      </c>
      <c r="U2">
        <f>M2*('parameter_table'!$E$24)+N2*('parameter_table'!$E$24)+O2*('parameter_table'!$E$24)+P2*('parameter_table'!$E$24)+Q2*('parameter_table'!$E$26)+R2*('parameter_table'!$E$25)+S2*('parameter_table'!$E$24)+T2*('parameter_table'!$E$24)+V2+W2</f>
        <v/>
      </c>
    </row>
    <row r="3">
      <c r="A3" t="n">
        <v>2</v>
      </c>
      <c r="B3" t="inlineStr">
        <is>
          <t>Anoxic hydrolysis (NO2)</t>
        </is>
      </c>
      <c r="D3">
        <f>1-'parameter_table'!$E$8</f>
        <v/>
      </c>
      <c r="E3">
        <f>'parameter_table'!$E$8</f>
        <v/>
      </c>
      <c r="G3">
        <f>-(D3*('parameter_table'!$E$12)+E3*('parameter_table'!$E$14)+F3+H3+I3+M3*('parameter_table'!$E$18)+N3*('parameter_table'!$E$16)+O3*('parameter_table'!$E$10)+P3*('parameter_table'!$E$10)+S3*('parameter_table'!$E$10)+T3*('parameter_table'!$E$10))</f>
        <v/>
      </c>
      <c r="J3">
        <f>-(D3*('parameter_table'!$E$13)+E3*('parameter_table'!$E$15)+M3*('parameter_table'!$E$19)+N3*('parameter_table'!$E$17)+O3*('parameter_table'!$E$11)+P3*('parameter_table'!$E$11)+Q3+S3*('parameter_table'!$E$11)+T3*('parameter_table'!$E$11)+W3*('parameter_table'!$E$27))</f>
        <v/>
      </c>
      <c r="K3">
        <f>G3/14-H3/14-I3/14+J3/31</f>
        <v/>
      </c>
      <c r="N3">
        <f>-1</f>
        <v/>
      </c>
      <c r="U3">
        <f>M3*('parameter_table'!$E$24)+N3*('parameter_table'!$E$24)+O3*('parameter_table'!$E$24)+P3*('parameter_table'!$E$24)+Q3*('parameter_table'!$E$26)+R3*('parameter_table'!$E$25)+S3*('parameter_table'!$E$24)+T3*('parameter_table'!$E$24)+V3+W3</f>
        <v/>
      </c>
    </row>
    <row r="4">
      <c r="A4" t="n">
        <v>3</v>
      </c>
      <c r="B4" t="inlineStr">
        <is>
          <t>Anoxic hydrolysis (NO3)</t>
        </is>
      </c>
      <c r="D4">
        <f>1-'parameter_table'!$E$8</f>
        <v/>
      </c>
      <c r="E4">
        <f>'parameter_table'!$E$8</f>
        <v/>
      </c>
      <c r="G4">
        <f>-(D4*('parameter_table'!$E$12)+E4*('parameter_table'!$E$14)+F4+H4+I4+M4*('parameter_table'!$E$18)+N4*('parameter_table'!$E$16)+O4*('parameter_table'!$E$10)+P4*('parameter_table'!$E$10)+S4*('parameter_table'!$E$10)+T4*('parameter_table'!$E$10))</f>
        <v/>
      </c>
      <c r="J4">
        <f>-(D4*('parameter_table'!$E$13)+E4*('parameter_table'!$E$15)+M4*('parameter_table'!$E$19)+N4*('parameter_table'!$E$17)+O4*('parameter_table'!$E$11)+P4*('parameter_table'!$E$11)+Q4+S4*('parameter_table'!$E$11)+T4*('parameter_table'!$E$11)+W4*('parameter_table'!$E$27))</f>
        <v/>
      </c>
      <c r="K4">
        <f>G4/14-H4/14-I4/14+J4/31</f>
        <v/>
      </c>
      <c r="N4">
        <f>-1</f>
        <v/>
      </c>
      <c r="U4">
        <f>M4*('parameter_table'!$E$24)+N4*('parameter_table'!$E$24)+O4*('parameter_table'!$E$24)+P4*('parameter_table'!$E$24)+Q4*('parameter_table'!$E$26)+R4*('parameter_table'!$E$25)+S4*('parameter_table'!$E$24)+T4*('parameter_table'!$E$24)+V4+W4</f>
        <v/>
      </c>
    </row>
    <row r="5">
      <c r="A5" t="n">
        <v>4</v>
      </c>
      <c r="B5" t="inlineStr">
        <is>
          <t>Anaerobic hydrolysis</t>
        </is>
      </c>
      <c r="D5">
        <f>1-'parameter_table'!$E$8</f>
        <v/>
      </c>
      <c r="E5">
        <f>'parameter_table'!$E$8</f>
        <v/>
      </c>
      <c r="G5">
        <f>-(D5*('parameter_table'!$E$12)+E5*('parameter_table'!$E$14)+F5+H5+I5+M5*('parameter_table'!$E$18)+N5*('parameter_table'!$E$16)+O5*('parameter_table'!$E$10)+P5*('parameter_table'!$E$10)+S5*('parameter_table'!$E$10)+T5*('parameter_table'!$E$10))</f>
        <v/>
      </c>
      <c r="J5">
        <f>-(D5*('parameter_table'!$E$13)+E5*('parameter_table'!$E$15)+M5*('parameter_table'!$E$19)+N5*('parameter_table'!$E$17)+O5*('parameter_table'!$E$11)+P5*('parameter_table'!$E$11)+Q5+S5*('parameter_table'!$E$11)+T5*('parameter_table'!$E$11)+W5*('parameter_table'!$E$27))</f>
        <v/>
      </c>
      <c r="K5">
        <f>G5/14-H5/14-I5/14+J5/31</f>
        <v/>
      </c>
      <c r="N5">
        <f>-1</f>
        <v/>
      </c>
      <c r="U5">
        <f>M5*('parameter_table'!$E$24)+N5*('parameter_table'!$E$24)+O5*('parameter_table'!$E$24)+P5*('parameter_table'!$E$24)+Q5*('parameter_table'!$E$26)+R5*('parameter_table'!$E$25)+S5*('parameter_table'!$E$24)+T5*('parameter_table'!$E$24)+V5+W5</f>
        <v/>
      </c>
    </row>
    <row r="6">
      <c r="A6" t="n">
        <v>5</v>
      </c>
      <c r="B6" t="inlineStr">
        <is>
          <t>Aerobic growth on S_F</t>
        </is>
      </c>
      <c r="D6">
        <f>-1/'parameter_table'!$E$2</f>
        <v/>
      </c>
      <c r="G6">
        <f>-(D6*('parameter_table'!$E$12)+E6*('parameter_table'!$E$14)+F6+H6+I6+M6*('parameter_table'!$E$18)+N6*('parameter_table'!$E$16)+O6*('parameter_table'!$E$10)+P6*('parameter_table'!$E$10)+S6*('parameter_table'!$E$10)+T6*('parameter_table'!$E$10))</f>
        <v/>
      </c>
      <c r="J6">
        <f>-(D6*('parameter_table'!$E$13)+E6*('parameter_table'!$E$15)+M6*('parameter_table'!$E$19)+N6*('parameter_table'!$E$17)+O6*('parameter_table'!$E$11)+P6*('parameter_table'!$E$11)+Q6+S6*('parameter_table'!$E$11)+T6*('parameter_table'!$E$11)+W6*('parameter_table'!$E$27))</f>
        <v/>
      </c>
      <c r="K6">
        <f>G6/14-H6/14-I6/14+J6/31</f>
        <v/>
      </c>
      <c r="L6">
        <f>1-1/'parameter_table'!$E$2</f>
        <v/>
      </c>
      <c r="O6">
        <f>1</f>
        <v/>
      </c>
      <c r="U6">
        <f>M6*('parameter_table'!$E$24)+N6*('parameter_table'!$E$24)+O6*('parameter_table'!$E$24)+P6*('parameter_table'!$E$24)+Q6*('parameter_table'!$E$26)+R6*('parameter_table'!$E$25)+S6*('parameter_table'!$E$24)+T6*('parameter_table'!$E$24)+V6+W6</f>
        <v/>
      </c>
    </row>
    <row r="7">
      <c r="A7" t="n">
        <v>6</v>
      </c>
      <c r="B7" t="inlineStr">
        <is>
          <t>Aerobic growth on S_A</t>
        </is>
      </c>
      <c r="C7">
        <f>-1/'parameter_table'!$E$2</f>
        <v/>
      </c>
      <c r="G7">
        <f>-(D7*('parameter_table'!$E$12)+E7*('parameter_table'!$E$14)+F7+H7+I7+M7*('parameter_table'!$E$18)+N7*('parameter_table'!$E$16)+O7*('parameter_table'!$E$10)+P7*('parameter_table'!$E$10)+S7*('parameter_table'!$E$10)+T7*('parameter_table'!$E$10))</f>
        <v/>
      </c>
      <c r="J7">
        <f>-(D7*('parameter_table'!$E$13)+E7*('parameter_table'!$E$15)+M7*('parameter_table'!$E$19)+N7*('parameter_table'!$E$17)+O7*('parameter_table'!$E$11)+P7*('parameter_table'!$E$11)+Q7+S7*('parameter_table'!$E$11)+T7*('parameter_table'!$E$11)+W7*('parameter_table'!$E$27))</f>
        <v/>
      </c>
      <c r="K7">
        <f>G7/14-H7/14-I7/14+J7/31</f>
        <v/>
      </c>
      <c r="L7">
        <f>1-1/'parameter_table'!$E$2</f>
        <v/>
      </c>
      <c r="O7">
        <f>1</f>
        <v/>
      </c>
      <c r="U7">
        <f>M7*('parameter_table'!$E$24)+N7*('parameter_table'!$E$24)+O7*('parameter_table'!$E$24)+P7*('parameter_table'!$E$24)+Q7*('parameter_table'!$E$26)+R7*('parameter_table'!$E$25)+S7*('parameter_table'!$E$24)+T7*('parameter_table'!$E$24)+V7+W7</f>
        <v/>
      </c>
    </row>
    <row r="8">
      <c r="A8" t="n">
        <v>7</v>
      </c>
      <c r="B8" t="inlineStr">
        <is>
          <t>Anoxic growth on S_F (NO3 -&gt; NO2)</t>
        </is>
      </c>
      <c r="D8">
        <f>-1/'parameter_table'!$E$2</f>
        <v/>
      </c>
      <c r="G8">
        <f>-(D8*('parameter_table'!$E$12)+E8*('parameter_table'!$E$14)+F8+H8+I8+M8*('parameter_table'!$E$18)+N8*('parameter_table'!$E$16)+O8*('parameter_table'!$E$10)+P8*('parameter_table'!$E$10)+S8*('parameter_table'!$E$10)+T8*('parameter_table'!$E$10))</f>
        <v/>
      </c>
      <c r="H8">
        <f>(1-'parameter_table'!$E$2)/((8/7)*'parameter_table'!$E$2)</f>
        <v/>
      </c>
      <c r="I8">
        <f>-((1-'parameter_table'!$E$2)/((8/7)*'parameter_table'!$E$2))</f>
        <v/>
      </c>
      <c r="J8">
        <f>-(D8*('parameter_table'!$E$13)+E8*('parameter_table'!$E$15)+M8*('parameter_table'!$E$19)+N8*('parameter_table'!$E$17)+O8*('parameter_table'!$E$11)+P8*('parameter_table'!$E$11)+Q8+S8*('parameter_table'!$E$11)+T8*('parameter_table'!$E$11)+W8*('parameter_table'!$E$27))</f>
        <v/>
      </c>
      <c r="K8">
        <f>G8/14-H8/14-I8/14+J8/31</f>
        <v/>
      </c>
      <c r="O8">
        <f>1</f>
        <v/>
      </c>
      <c r="U8">
        <f>M8*('parameter_table'!$E$24)+N8*('parameter_table'!$E$24)+O8*('parameter_table'!$E$24)+P8*('parameter_table'!$E$24)+Q8*('parameter_table'!$E$26)+R8*('parameter_table'!$E$25)+S8*('parameter_table'!$E$24)+T8*('parameter_table'!$E$24)+V8+W8</f>
        <v/>
      </c>
    </row>
    <row r="9">
      <c r="A9" t="n">
        <v>8</v>
      </c>
      <c r="B9" t="inlineStr">
        <is>
          <t>Anoxic growth on S_F (NO2 -&gt; N2)</t>
        </is>
      </c>
      <c r="D9">
        <f>-1/'parameter_table'!$E$2</f>
        <v/>
      </c>
      <c r="F9">
        <f>(1-'parameter_table'!$E$2)/(1.72*'parameter_table'!$E$2)</f>
        <v/>
      </c>
      <c r="G9">
        <f>-(D9*('parameter_table'!$E$12)+E9*('parameter_table'!$E$14)+F9+H9+I9+M9*('parameter_table'!$E$18)+N9*('parameter_table'!$E$16)+O9*('parameter_table'!$E$10)+P9*('parameter_table'!$E$10)+S9*('parameter_table'!$E$10)+T9*('parameter_table'!$E$10))</f>
        <v/>
      </c>
      <c r="H9">
        <f>-((1-'parameter_table'!$E$2)/(1.72*'parameter_table'!$E$2))</f>
        <v/>
      </c>
      <c r="J9">
        <f>-(D9*('parameter_table'!$E$13)+E9*('parameter_table'!$E$15)+M9*('parameter_table'!$E$19)+N9*('parameter_table'!$E$17)+O9*('parameter_table'!$E$11)+P9*('parameter_table'!$E$11)+Q9+S9*('parameter_table'!$E$11)+T9*('parameter_table'!$E$11)+W9*('parameter_table'!$E$27))</f>
        <v/>
      </c>
      <c r="K9">
        <f>G9/14-H9/14-I9/14+J9/31</f>
        <v/>
      </c>
      <c r="O9">
        <f>1</f>
        <v/>
      </c>
      <c r="U9">
        <f>M9*('parameter_table'!$E$24)+N9*('parameter_table'!$E$24)+O9*('parameter_table'!$E$24)+P9*('parameter_table'!$E$24)+Q9*('parameter_table'!$E$26)+R9*('parameter_table'!$E$25)+S9*('parameter_table'!$E$24)+T9*('parameter_table'!$E$24)+V9+W9</f>
        <v/>
      </c>
    </row>
    <row r="10">
      <c r="A10" t="n">
        <v>9</v>
      </c>
      <c r="B10" t="inlineStr">
        <is>
          <t>Anoxic growth on S_A (NO3 -&gt; NO2)</t>
        </is>
      </c>
      <c r="C10">
        <f>-1/'parameter_table'!$E$2</f>
        <v/>
      </c>
      <c r="G10">
        <f>-(D10*('parameter_table'!$E$12)+E10*('parameter_table'!$E$14)+F10+H10+I10+M10*('parameter_table'!$E$18)+N10*('parameter_table'!$E$16)+O10*('parameter_table'!$E$10)+P10*('parameter_table'!$E$10)+S10*('parameter_table'!$E$10)+T10*('parameter_table'!$E$10))</f>
        <v/>
      </c>
      <c r="H10">
        <f>(1-'parameter_table'!$E$2)/((8/7)*'parameter_table'!$E$2)</f>
        <v/>
      </c>
      <c r="I10">
        <f>-((1-'parameter_table'!$E$2)/((8/7)*'parameter_table'!$E$2))</f>
        <v/>
      </c>
      <c r="J10">
        <f>-(D10*('parameter_table'!$E$13)+E10*('parameter_table'!$E$15)+M10*('parameter_table'!$E$19)+N10*('parameter_table'!$E$17)+O10*('parameter_table'!$E$11)+P10*('parameter_table'!$E$11)+Q10+S10*('parameter_table'!$E$11)+T10*('parameter_table'!$E$11)+W10*('parameter_table'!$E$27))</f>
        <v/>
      </c>
      <c r="K10">
        <f>G10/14-H10/14-I10/14+J10/31</f>
        <v/>
      </c>
      <c r="O10">
        <f>1</f>
        <v/>
      </c>
      <c r="U10">
        <f>M10*('parameter_table'!$E$24)+N10*('parameter_table'!$E$24)+O10*('parameter_table'!$E$24)+P10*('parameter_table'!$E$24)+Q10*('parameter_table'!$E$26)+R10*('parameter_table'!$E$25)+S10*('parameter_table'!$E$24)+T10*('parameter_table'!$E$24)+V10+W10</f>
        <v/>
      </c>
    </row>
    <row r="11">
      <c r="A11" t="n">
        <v>10</v>
      </c>
      <c r="B11" t="inlineStr">
        <is>
          <t>Anoxic growth on S_A (NO2 -&gt; N2)</t>
        </is>
      </c>
      <c r="C11">
        <f>-1/'parameter_table'!$E$2</f>
        <v/>
      </c>
      <c r="F11">
        <f>(1-'parameter_table'!$E$2)/(1.72*'parameter_table'!$E$2)</f>
        <v/>
      </c>
      <c r="G11">
        <f>-(D11*('parameter_table'!$E$12)+E11*('parameter_table'!$E$14)+F11+H11+I11+M11*('parameter_table'!$E$18)+N11*('parameter_table'!$E$16)+O11*('parameter_table'!$E$10)+P11*('parameter_table'!$E$10)+S11*('parameter_table'!$E$10)+T11*('parameter_table'!$E$10))</f>
        <v/>
      </c>
      <c r="H11">
        <f>-((1-'parameter_table'!$E$2)/(1.72*'parameter_table'!$E$2))</f>
        <v/>
      </c>
      <c r="J11">
        <f>-(D11*('parameter_table'!$E$13)+E11*('parameter_table'!$E$15)+M11*('parameter_table'!$E$19)+N11*('parameter_table'!$E$17)+O11*('parameter_table'!$E$11)+P11*('parameter_table'!$E$11)+Q11+S11*('parameter_table'!$E$11)+T11*('parameter_table'!$E$11)+W11*('parameter_table'!$E$27))</f>
        <v/>
      </c>
      <c r="K11">
        <f>G11/14-H11/14-I11/14+J11/31</f>
        <v/>
      </c>
      <c r="O11">
        <f>1</f>
        <v/>
      </c>
      <c r="U11">
        <f>M11*('parameter_table'!$E$24)+N11*('parameter_table'!$E$24)+O11*('parameter_table'!$E$24)+P11*('parameter_table'!$E$24)+Q11*('parameter_table'!$E$26)+R11*('parameter_table'!$E$25)+S11*('parameter_table'!$E$24)+T11*('parameter_table'!$E$24)+V11+W11</f>
        <v/>
      </c>
    </row>
    <row r="12">
      <c r="A12" t="n">
        <v>11</v>
      </c>
      <c r="B12" t="inlineStr">
        <is>
          <t>Fermentation</t>
        </is>
      </c>
      <c r="C12">
        <f>1</f>
        <v/>
      </c>
      <c r="D12">
        <f>-1</f>
        <v/>
      </c>
      <c r="G12">
        <f>-(D12*('parameter_table'!$E$12)+E12*('parameter_table'!$E$14)+F12+H12+I12+M12*('parameter_table'!$E$18)+N12*('parameter_table'!$E$16)+O12*('parameter_table'!$E$10)+P12*('parameter_table'!$E$10)+S12*('parameter_table'!$E$10)+T12*('parameter_table'!$E$10))</f>
        <v/>
      </c>
      <c r="J12">
        <f>-(D12*('parameter_table'!$E$13)+E12*('parameter_table'!$E$15)+M12*('parameter_table'!$E$19)+N12*('parameter_table'!$E$17)+O12*('parameter_table'!$E$11)+P12*('parameter_table'!$E$11)+Q12+S12*('parameter_table'!$E$11)+T12*('parameter_table'!$E$11)+W12*('parameter_table'!$E$27))</f>
        <v/>
      </c>
      <c r="K12">
        <f>G12/14-H12/14-I12/14+J12/31</f>
        <v/>
      </c>
      <c r="U12">
        <f>M12*('parameter_table'!$E$24)+N12*('parameter_table'!$E$24)+O12*('parameter_table'!$E$24)+P12*('parameter_table'!$E$24)+Q12*('parameter_table'!$E$26)+R12*('parameter_table'!$E$25)+S12*('parameter_table'!$E$24)+T12*('parameter_table'!$E$24)+V12+W12</f>
        <v/>
      </c>
    </row>
    <row r="13">
      <c r="A13" t="n">
        <v>12</v>
      </c>
      <c r="B13" t="inlineStr">
        <is>
          <t>Lysis of X_H</t>
        </is>
      </c>
      <c r="G13">
        <f>-(D13*('parameter_table'!$E$12)+E13*('parameter_table'!$E$14)+F13+H13+I13+M13*('parameter_table'!$E$18)+N13*('parameter_table'!$E$16)+O13*('parameter_table'!$E$10)+P13*('parameter_table'!$E$10)+S13*('parameter_table'!$E$10)+T13*('parameter_table'!$E$10))</f>
        <v/>
      </c>
      <c r="J13">
        <f>-(D13*('parameter_table'!$E$13)+E13*('parameter_table'!$E$15)+M13*('parameter_table'!$E$19)+N13*('parameter_table'!$E$17)+O13*('parameter_table'!$E$11)+P13*('parameter_table'!$E$11)+Q13+S13*('parameter_table'!$E$11)+T13*('parameter_table'!$E$11)+W13*('parameter_table'!$E$27))</f>
        <v/>
      </c>
      <c r="K13">
        <f>G13/14-H13/14-I13/14+J13/31</f>
        <v/>
      </c>
      <c r="M13">
        <f>'parameter_table'!$E$9</f>
        <v/>
      </c>
      <c r="N13">
        <f>1-'parameter_table'!$E$9</f>
        <v/>
      </c>
      <c r="O13">
        <f>-1</f>
        <v/>
      </c>
      <c r="U13">
        <f>M13*('parameter_table'!$E$24)+N13*('parameter_table'!$E$24)+O13*('parameter_table'!$E$24)+P13*('parameter_table'!$E$24)+Q13*('parameter_table'!$E$26)+R13*('parameter_table'!$E$25)+S13*('parameter_table'!$E$24)+T13*('parameter_table'!$E$24)+V13+W13</f>
        <v/>
      </c>
    </row>
    <row r="14">
      <c r="A14" t="n">
        <v>13</v>
      </c>
      <c r="B14" t="inlineStr">
        <is>
          <t>Storage of X_PHA</t>
        </is>
      </c>
      <c r="C14">
        <f>-1</f>
        <v/>
      </c>
      <c r="G14">
        <f>-(D14*('parameter_table'!$E$12)+E14*('parameter_table'!$E$14)+F14+H14+I14+M14*('parameter_table'!$E$18)+N14*('parameter_table'!$E$16)+O14*('parameter_table'!$E$10)+P14*('parameter_table'!$E$10)+S14*('parameter_table'!$E$10)+T14*('parameter_table'!$E$10))</f>
        <v/>
      </c>
      <c r="J14">
        <f>-(D14*('parameter_table'!$E$13)+E14*('parameter_table'!$E$15)+M14*('parameter_table'!$E$19)+N14*('parameter_table'!$E$17)+O14*('parameter_table'!$E$11)+P14*('parameter_table'!$E$11)+Q14+S14*('parameter_table'!$E$11)+T14*('parameter_table'!$E$11)+W14*('parameter_table'!$E$27))</f>
        <v/>
      </c>
      <c r="K14">
        <f>G14/14-H14/14-I14/14+J14/31</f>
        <v/>
      </c>
      <c r="P14">
        <f>-'parameter_table'!$E$3</f>
        <v/>
      </c>
      <c r="R14">
        <f>1</f>
        <v/>
      </c>
      <c r="U14">
        <f>M14*('parameter_table'!$E$24)+N14*('parameter_table'!$E$24)+O14*('parameter_table'!$E$24)+P14*('parameter_table'!$E$24)+Q14*('parameter_table'!$E$26)+R14*('parameter_table'!$E$25)+S14*('parameter_table'!$E$24)+T14*('parameter_table'!$E$24)+V14+W14</f>
        <v/>
      </c>
    </row>
    <row r="15">
      <c r="A15" t="n">
        <v>14</v>
      </c>
      <c r="B15" t="inlineStr">
        <is>
          <t>Aerobic storage of X_PP</t>
        </is>
      </c>
      <c r="G15">
        <f>-(D15*('parameter_table'!$E$12)+E15*('parameter_table'!$E$14)+F15+H15+I15+M15*('parameter_table'!$E$18)+N15*('parameter_table'!$E$16)+O15*('parameter_table'!$E$10)+P15*('parameter_table'!$E$10)+S15*('parameter_table'!$E$10)+T15*('parameter_table'!$E$10))</f>
        <v/>
      </c>
      <c r="J15">
        <f>-(D15*('parameter_table'!$E$13)+E15*('parameter_table'!$E$15)+M15*('parameter_table'!$E$19)+N15*('parameter_table'!$E$17)+O15*('parameter_table'!$E$11)+P15*('parameter_table'!$E$11)+Q15+S15*('parameter_table'!$E$11)+T15*('parameter_table'!$E$11)+W15*('parameter_table'!$E$27))</f>
        <v/>
      </c>
      <c r="K15">
        <f>G15/14-H15/14-I15/14+J15/31</f>
        <v/>
      </c>
      <c r="L15">
        <f>-'parameter_table'!$E$4</f>
        <v/>
      </c>
      <c r="Q15">
        <f>1</f>
        <v/>
      </c>
      <c r="R15">
        <f>-'parameter_table'!$E$4</f>
        <v/>
      </c>
      <c r="U15">
        <f>M15*('parameter_table'!$E$24)+N15*('parameter_table'!$E$24)+O15*('parameter_table'!$E$24)+P15*('parameter_table'!$E$24)+Q15*('parameter_table'!$E$26)+R15*('parameter_table'!$E$25)+S15*('parameter_table'!$E$24)+T15*('parameter_table'!$E$24)+V15+W15</f>
        <v/>
      </c>
    </row>
    <row r="16">
      <c r="A16" t="n">
        <v>15</v>
      </c>
      <c r="B16" t="inlineStr">
        <is>
          <t>Anoxic storage of X_PP (NO3 -&gt; NO2)</t>
        </is>
      </c>
      <c r="G16">
        <f>-(D16*('parameter_table'!$E$12)+E16*('parameter_table'!$E$14)+F16+H16+I16+M16*('parameter_table'!$E$18)+N16*('parameter_table'!$E$16)+O16*('parameter_table'!$E$10)+P16*('parameter_table'!$E$10)+S16*('parameter_table'!$E$10)+T16*('parameter_table'!$E$10))</f>
        <v/>
      </c>
      <c r="H16">
        <f>'parameter_table'!$E$4/(8/7)</f>
        <v/>
      </c>
      <c r="I16">
        <f>-('parameter_table'!$E$4/(8/7))</f>
        <v/>
      </c>
      <c r="J16">
        <f>-(D16*('parameter_table'!$E$13)+E16*('parameter_table'!$E$15)+M16*('parameter_table'!$E$19)+N16*('parameter_table'!$E$17)+O16*('parameter_table'!$E$11)+P16*('parameter_table'!$E$11)+Q16+S16*('parameter_table'!$E$11)+T16*('parameter_table'!$E$11)+W16*('parameter_table'!$E$27))</f>
        <v/>
      </c>
      <c r="K16">
        <f>G16/14-H16/14-I16/14+J16/31</f>
        <v/>
      </c>
      <c r="Q16">
        <f>1</f>
        <v/>
      </c>
      <c r="R16">
        <f>-'parameter_table'!$E$4</f>
        <v/>
      </c>
      <c r="U16">
        <f>M16*('parameter_table'!$E$24)+N16*('parameter_table'!$E$24)+O16*('parameter_table'!$E$24)+P16*('parameter_table'!$E$24)+Q16*('parameter_table'!$E$26)+R16*('parameter_table'!$E$25)+S16*('parameter_table'!$E$24)+T16*('parameter_table'!$E$24)+V16+W16</f>
        <v/>
      </c>
    </row>
    <row r="17">
      <c r="A17" t="n">
        <v>16</v>
      </c>
      <c r="B17" t="inlineStr">
        <is>
          <t>Anoxic storage of X_PP (NO2 -&gt; N2)</t>
        </is>
      </c>
      <c r="F17">
        <f>'parameter_table'!$E$4/1.72</f>
        <v/>
      </c>
      <c r="G17">
        <f>-(D17*('parameter_table'!$E$12)+E17*('parameter_table'!$E$14)+F17+H17+I17+M17*('parameter_table'!$E$18)+N17*('parameter_table'!$E$16)+O17*('parameter_table'!$E$10)+P17*('parameter_table'!$E$10)+S17*('parameter_table'!$E$10)+T17*('parameter_table'!$E$10))</f>
        <v/>
      </c>
      <c r="H17">
        <f>-('parameter_table'!$E$4/1.72)</f>
        <v/>
      </c>
      <c r="J17">
        <f>-(D17*('parameter_table'!$E$13)+E17*('parameter_table'!$E$15)+M17*('parameter_table'!$E$19)+N17*('parameter_table'!$E$17)+O17*('parameter_table'!$E$11)+P17*('parameter_table'!$E$11)+Q17+S17*('parameter_table'!$E$11)+T17*('parameter_table'!$E$11)+W17*('parameter_table'!$E$27))</f>
        <v/>
      </c>
      <c r="K17">
        <f>G17/14-H17/14-I17/14+J17/31</f>
        <v/>
      </c>
      <c r="Q17">
        <f>1</f>
        <v/>
      </c>
      <c r="R17">
        <f>-'parameter_table'!$E$4</f>
        <v/>
      </c>
      <c r="U17">
        <f>M17*('parameter_table'!$E$24)+N17*('parameter_table'!$E$24)+O17*('parameter_table'!$E$24)+P17*('parameter_table'!$E$24)+Q17*('parameter_table'!$E$26)+R17*('parameter_table'!$E$25)+S17*('parameter_table'!$E$24)+T17*('parameter_table'!$E$24)+V17+W17</f>
        <v/>
      </c>
    </row>
    <row r="18">
      <c r="A18" t="n">
        <v>17</v>
      </c>
      <c r="B18" t="inlineStr">
        <is>
          <t>Aerobic growth (PAO)</t>
        </is>
      </c>
      <c r="G18">
        <f>-(D18*('parameter_table'!$E$12)+E18*('parameter_table'!$E$14)+F18+H18+I18+M18*('parameter_table'!$E$18)+N18*('parameter_table'!$E$16)+O18*('parameter_table'!$E$10)+P18*('parameter_table'!$E$10)+S18*('parameter_table'!$E$10)+T18*('parameter_table'!$E$10))</f>
        <v/>
      </c>
      <c r="J18">
        <f>-(D18*('parameter_table'!$E$13)+E18*('parameter_table'!$E$15)+M18*('parameter_table'!$E$19)+N18*('parameter_table'!$E$17)+O18*('parameter_table'!$E$11)+P18*('parameter_table'!$E$11)+Q18+S18*('parameter_table'!$E$11)+T18*('parameter_table'!$E$11)+W18*('parameter_table'!$E$27))</f>
        <v/>
      </c>
      <c r="K18">
        <f>G18/14-H18/14-I18/14+J18/31</f>
        <v/>
      </c>
      <c r="L18">
        <f>1-1/'parameter_table'!$E$3</f>
        <v/>
      </c>
      <c r="P18">
        <f>1</f>
        <v/>
      </c>
      <c r="R18">
        <f>-1/'parameter_table'!$E$3</f>
        <v/>
      </c>
      <c r="U18">
        <f>M18*('parameter_table'!$E$24)+N18*('parameter_table'!$E$24)+O18*('parameter_table'!$E$24)+P18*('parameter_table'!$E$24)+Q18*('parameter_table'!$E$26)+R18*('parameter_table'!$E$25)+S18*('parameter_table'!$E$24)+T18*('parameter_table'!$E$24)+V18+W18</f>
        <v/>
      </c>
    </row>
    <row r="19">
      <c r="A19" t="n">
        <v>18</v>
      </c>
      <c r="B19" t="inlineStr">
        <is>
          <t>Anoxic growth (PAO, NO3 -&gt; NO2)</t>
        </is>
      </c>
      <c r="G19">
        <f>-(D19*('parameter_table'!$E$12)+E19*('parameter_table'!$E$14)+F19+H19+I19+M19*('parameter_table'!$E$18)+N19*('parameter_table'!$E$16)+O19*('parameter_table'!$E$10)+P19*('parameter_table'!$E$10)+S19*('parameter_table'!$E$10)+T19*('parameter_table'!$E$10))</f>
        <v/>
      </c>
      <c r="H19">
        <f>(1-'parameter_table'!$E$3)/((8/7)*'parameter_table'!$E$3)</f>
        <v/>
      </c>
      <c r="I19">
        <f>-((1-'parameter_table'!$E$3)/((8/7)*'parameter_table'!$E$3))</f>
        <v/>
      </c>
      <c r="J19">
        <f>-(D19*('parameter_table'!$E$13)+E19*('parameter_table'!$E$15)+M19*('parameter_table'!$E$19)+N19*('parameter_table'!$E$17)+O19*('parameter_table'!$E$11)+P19*('parameter_table'!$E$11)+Q19+S19*('parameter_table'!$E$11)+T19*('parameter_table'!$E$11)+W19*('parameter_table'!$E$27))</f>
        <v/>
      </c>
      <c r="K19">
        <f>G19/14-H19/14-I19/14+J19/31</f>
        <v/>
      </c>
      <c r="P19">
        <f>1</f>
        <v/>
      </c>
      <c r="R19">
        <f>-1/'parameter_table'!$E$3</f>
        <v/>
      </c>
      <c r="U19">
        <f>M19*('parameter_table'!$E$24)+N19*('parameter_table'!$E$24)+O19*('parameter_table'!$E$24)+P19*('parameter_table'!$E$24)+Q19*('parameter_table'!$E$26)+R19*('parameter_table'!$E$25)+S19*('parameter_table'!$E$24)+T19*('parameter_table'!$E$24)+V19+W19</f>
        <v/>
      </c>
    </row>
    <row r="20">
      <c r="A20" t="n">
        <v>19</v>
      </c>
      <c r="B20" t="inlineStr">
        <is>
          <t>Anoxic growth (PAO, NO2 -&gt; N2)</t>
        </is>
      </c>
      <c r="F20">
        <f>(1-'parameter_table'!$E$3)/(1.72*'parameter_table'!$E$3)</f>
        <v/>
      </c>
      <c r="G20">
        <f>-(D20*('parameter_table'!$E$12)+E20*('parameter_table'!$E$14)+F20+H20+I20+M20*('parameter_table'!$E$18)+N20*('parameter_table'!$E$16)+O20*('parameter_table'!$E$10)+P20*('parameter_table'!$E$10)+S20*('parameter_table'!$E$10)+T20*('parameter_table'!$E$10))</f>
        <v/>
      </c>
      <c r="H20">
        <f>-((1-'parameter_table'!$E$3)/(1.72*'parameter_table'!$E$3))</f>
        <v/>
      </c>
      <c r="J20">
        <f>-(D20*('parameter_table'!$E$13)+E20*('parameter_table'!$E$15)+M20*('parameter_table'!$E$19)+N20*('parameter_table'!$E$17)+O20*('parameter_table'!$E$11)+P20*('parameter_table'!$E$11)+Q20+S20*('parameter_table'!$E$11)+T20*('parameter_table'!$E$11)+W20*('parameter_table'!$E$27))</f>
        <v/>
      </c>
      <c r="K20">
        <f>G20/14-H20/14-I20/14+J20/31</f>
        <v/>
      </c>
      <c r="P20">
        <f>1</f>
        <v/>
      </c>
      <c r="R20">
        <f>-1/'parameter_table'!$E$3</f>
        <v/>
      </c>
      <c r="U20">
        <f>M20*('parameter_table'!$E$24)+N20*('parameter_table'!$E$24)+O20*('parameter_table'!$E$24)+P20*('parameter_table'!$E$24)+Q20*('parameter_table'!$E$26)+R20*('parameter_table'!$E$25)+S20*('parameter_table'!$E$24)+T20*('parameter_table'!$E$24)+V20+W20</f>
        <v/>
      </c>
    </row>
    <row r="21">
      <c r="A21" t="n">
        <v>20</v>
      </c>
      <c r="B21" t="inlineStr">
        <is>
          <t>Lysis of PAO</t>
        </is>
      </c>
      <c r="G21">
        <f>-(D21*('parameter_table'!$E$12)+E21*('parameter_table'!$E$14)+F21+H21+I21+M21*('parameter_table'!$E$18)+N21*('parameter_table'!$E$16)+O21*('parameter_table'!$E$10)+P21*('parameter_table'!$E$10)+S21*('parameter_table'!$E$10)+T21*('parameter_table'!$E$10))</f>
        <v/>
      </c>
      <c r="J21">
        <f>-(D21*('parameter_table'!$E$13)+E21*('parameter_table'!$E$15)+M21*('parameter_table'!$E$19)+N21*('parameter_table'!$E$17)+O21*('parameter_table'!$E$11)+P21*('parameter_table'!$E$11)+Q21+S21*('parameter_table'!$E$11)+T21*('parameter_table'!$E$11)+W21*('parameter_table'!$E$27))</f>
        <v/>
      </c>
      <c r="K21">
        <f>G21/14-H21/14-I21/14+J21/31</f>
        <v/>
      </c>
      <c r="M21">
        <f>'parameter_table'!$E$9</f>
        <v/>
      </c>
      <c r="N21">
        <f>1-'parameter_table'!$E$9</f>
        <v/>
      </c>
      <c r="P21">
        <f>-1</f>
        <v/>
      </c>
      <c r="U21">
        <f>M21*('parameter_table'!$E$24)+N21*('parameter_table'!$E$24)+O21*('parameter_table'!$E$24)+P21*('parameter_table'!$E$24)+Q21*('parameter_table'!$E$26)+R21*('parameter_table'!$E$25)+S21*('parameter_table'!$E$24)+T21*('parameter_table'!$E$24)+V21+W21</f>
        <v/>
      </c>
    </row>
    <row r="22">
      <c r="A22" t="n">
        <v>21</v>
      </c>
      <c r="B22" t="inlineStr">
        <is>
          <t>Lysis of PP</t>
        </is>
      </c>
      <c r="G22">
        <f>-(D22*('parameter_table'!$E$12)+E22*('parameter_table'!$E$14)+F22+H22+I22+M22*('parameter_table'!$E$18)+N22*('parameter_table'!$E$16)+O22*('parameter_table'!$E$10)+P22*('parameter_table'!$E$10)+S22*('parameter_table'!$E$10)+T22*('parameter_table'!$E$10))</f>
        <v/>
      </c>
      <c r="J22">
        <f>-(D22*('parameter_table'!$E$13)+E22*('parameter_table'!$E$15)+M22*('parameter_table'!$E$19)+N22*('parameter_table'!$E$17)+O22*('parameter_table'!$E$11)+P22*('parameter_table'!$E$11)+Q22+S22*('parameter_table'!$E$11)+T22*('parameter_table'!$E$11)+W22*('parameter_table'!$E$27))</f>
        <v/>
      </c>
      <c r="K22">
        <f>G22/14-H22/14-I22/14+J22/31</f>
        <v/>
      </c>
      <c r="Q22">
        <f>-1</f>
        <v/>
      </c>
      <c r="U22">
        <f>M22*('parameter_table'!$E$24)+N22*('parameter_table'!$E$24)+O22*('parameter_table'!$E$24)+P22*('parameter_table'!$E$24)+Q22*('parameter_table'!$E$26)+R22*('parameter_table'!$E$25)+S22*('parameter_table'!$E$24)+T22*('parameter_table'!$E$24)+V22+W22</f>
        <v/>
      </c>
    </row>
    <row r="23">
      <c r="A23" t="n">
        <v>22</v>
      </c>
      <c r="B23" t="inlineStr">
        <is>
          <t>Lysis of PHA</t>
        </is>
      </c>
      <c r="C23">
        <f>1</f>
        <v/>
      </c>
      <c r="G23">
        <f>-(D23*('parameter_table'!$E$12)+E23*('parameter_table'!$E$14)+F23+H23+I23+M23*('parameter_table'!$E$18)+N23*('parameter_table'!$E$16)+O23*('parameter_table'!$E$10)+P23*('parameter_table'!$E$10)+S23*('parameter_table'!$E$10)+T23*('parameter_table'!$E$10))</f>
        <v/>
      </c>
      <c r="J23">
        <f>-(D23*('parameter_table'!$E$13)+E23*('parameter_table'!$E$15)+M23*('parameter_table'!$E$19)+N23*('parameter_table'!$E$17)+O23*('parameter_table'!$E$11)+P23*('parameter_table'!$E$11)+Q23+S23*('parameter_table'!$E$11)+T23*('parameter_table'!$E$11)+W23*('parameter_table'!$E$27))</f>
        <v/>
      </c>
      <c r="K23">
        <f>G23/14-H23/14-I23/14+J23/31</f>
        <v/>
      </c>
      <c r="R23">
        <f>-1</f>
        <v/>
      </c>
      <c r="U23">
        <f>M23*('parameter_table'!$E$24)+N23*('parameter_table'!$E$24)+O23*('parameter_table'!$E$24)+P23*('parameter_table'!$E$24)+Q23*('parameter_table'!$E$26)+R23*('parameter_table'!$E$25)+S23*('parameter_table'!$E$24)+T23*('parameter_table'!$E$24)+V23+W23</f>
        <v/>
      </c>
    </row>
    <row r="24">
      <c r="A24" t="n">
        <v>23</v>
      </c>
      <c r="B24" t="inlineStr">
        <is>
          <t>Aerobic growth of X_AOB</t>
        </is>
      </c>
      <c r="G24">
        <f>-(D24*('parameter_table'!$E$12)+E24*('parameter_table'!$E$14)+F24+H24+I24+M24*('parameter_table'!$E$18)+N24*('parameter_table'!$E$16)+O24*('parameter_table'!$E$10)+P24*('parameter_table'!$E$10)+S24*('parameter_table'!$E$10)+T24*('parameter_table'!$E$10))</f>
        <v/>
      </c>
      <c r="H24">
        <f>1/'parameter_table'!$E$6</f>
        <v/>
      </c>
      <c r="J24">
        <f>-(D24*('parameter_table'!$E$13)+E24*('parameter_table'!$E$15)+M24*('parameter_table'!$E$19)+N24*('parameter_table'!$E$17)+O24*('parameter_table'!$E$11)+P24*('parameter_table'!$E$11)+Q24+S24*('parameter_table'!$E$11)+T24*('parameter_table'!$E$11)+W24*('parameter_table'!$E$27))</f>
        <v/>
      </c>
      <c r="K24">
        <f>G24/14-H24/14-I24/14+J24/31</f>
        <v/>
      </c>
      <c r="L24">
        <f>-((3.43-'parameter_table'!$E$6)/'parameter_table'!$E$6)</f>
        <v/>
      </c>
      <c r="S24">
        <f>1</f>
        <v/>
      </c>
      <c r="U24">
        <f>M24*('parameter_table'!$E$24)+N24*('parameter_table'!$E$24)+O24*('parameter_table'!$E$24)+P24*('parameter_table'!$E$24)+Q24*('parameter_table'!$E$26)+R24*('parameter_table'!$E$25)+S24*('parameter_table'!$E$24)+T24*('parameter_table'!$E$24)+V24+W24</f>
        <v/>
      </c>
    </row>
    <row r="25">
      <c r="A25" t="n">
        <v>24</v>
      </c>
      <c r="B25" t="inlineStr">
        <is>
          <t>Aerobic growth of X_NOB</t>
        </is>
      </c>
      <c r="G25">
        <f>-(D25*('parameter_table'!$E$12)+E25*('parameter_table'!$E$14)+F25+H25+I25+M25*('parameter_table'!$E$18)+N25*('parameter_table'!$E$16)+O25*('parameter_table'!$E$10)+P25*('parameter_table'!$E$10)+S25*('parameter_table'!$E$10)+T25*('parameter_table'!$E$10))</f>
        <v/>
      </c>
      <c r="H25">
        <f>-1/'parameter_table'!$E$7</f>
        <v/>
      </c>
      <c r="I25">
        <f>1/'parameter_table'!$E$7</f>
        <v/>
      </c>
      <c r="J25">
        <f>-(D25*('parameter_table'!$E$13)+E25*('parameter_table'!$E$15)+M25*('parameter_table'!$E$19)+N25*('parameter_table'!$E$17)+O25*('parameter_table'!$E$11)+P25*('parameter_table'!$E$11)+Q25+S25*('parameter_table'!$E$11)+T25*('parameter_table'!$E$11)+W25*('parameter_table'!$E$27))</f>
        <v/>
      </c>
      <c r="K25">
        <f>G25/14-H25/14-I25/14+J25/31</f>
        <v/>
      </c>
      <c r="L25">
        <f>-((1.14-'parameter_table'!$E$7)/'parameter_table'!$E$7)</f>
        <v/>
      </c>
      <c r="T25">
        <f>1</f>
        <v/>
      </c>
      <c r="U25">
        <f>M25*('parameter_table'!$E$24)+N25*('parameter_table'!$E$24)+O25*('parameter_table'!$E$24)+P25*('parameter_table'!$E$24)+Q25*('parameter_table'!$E$26)+R25*('parameter_table'!$E$25)+S25*('parameter_table'!$E$24)+T25*('parameter_table'!$E$24)+V25+W25</f>
        <v/>
      </c>
    </row>
    <row r="26">
      <c r="A26" t="n">
        <v>25</v>
      </c>
      <c r="B26" t="inlineStr">
        <is>
          <t>Lysis of AOB</t>
        </is>
      </c>
      <c r="G26">
        <f>-(D26*('parameter_table'!$E$12)+E26*('parameter_table'!$E$14)+F26+H26+I26+M26*('parameter_table'!$E$18)+N26*('parameter_table'!$E$16)+O26*('parameter_table'!$E$10)+P26*('parameter_table'!$E$10)+S26*('parameter_table'!$E$10)+T26*('parameter_table'!$E$10))</f>
        <v/>
      </c>
      <c r="J26">
        <f>-(D26*('parameter_table'!$E$13)+E26*('parameter_table'!$E$15)+M26*('parameter_table'!$E$19)+N26*('parameter_table'!$E$17)+O26*('parameter_table'!$E$11)+P26*('parameter_table'!$E$11)+Q26+S26*('parameter_table'!$E$11)+T26*('parameter_table'!$E$11)+W26*('parameter_table'!$E$27))</f>
        <v/>
      </c>
      <c r="K26">
        <f>G26/14-H26/14-I26/14+J26/31</f>
        <v/>
      </c>
      <c r="M26">
        <f>'parameter_table'!$E$9</f>
        <v/>
      </c>
      <c r="N26">
        <f>1-'parameter_table'!$E$9</f>
        <v/>
      </c>
      <c r="S26">
        <f>-1</f>
        <v/>
      </c>
      <c r="U26">
        <f>M26*('parameter_table'!$E$24)+N26*('parameter_table'!$E$24)+O26*('parameter_table'!$E$24)+P26*('parameter_table'!$E$24)+Q26*('parameter_table'!$E$26)+R26*('parameter_table'!$E$25)+S26*('parameter_table'!$E$24)+T26*('parameter_table'!$E$24)+V26+W26</f>
        <v/>
      </c>
    </row>
    <row r="27">
      <c r="A27" t="n">
        <v>26</v>
      </c>
      <c r="B27" t="inlineStr">
        <is>
          <t>Lysis of NOB</t>
        </is>
      </c>
      <c r="G27">
        <f>-(D27*('parameter_table'!$E$12)+E27*('parameter_table'!$E$14)+F27+H27+I27+M27*('parameter_table'!$E$18)+N27*('parameter_table'!$E$16)+O27*('parameter_table'!$E$10)+P27*('parameter_table'!$E$10)+S27*('parameter_table'!$E$10)+T27*('parameter_table'!$E$10))</f>
        <v/>
      </c>
      <c r="J27">
        <f>-(D27*('parameter_table'!$E$13)+E27*('parameter_table'!$E$15)+M27*('parameter_table'!$E$19)+N27*('parameter_table'!$E$17)+O27*('parameter_table'!$E$11)+P27*('parameter_table'!$E$11)+Q27+S27*('parameter_table'!$E$11)+T27*('parameter_table'!$E$11)+W27*('parameter_table'!$E$27))</f>
        <v/>
      </c>
      <c r="K27">
        <f>G27/14-H27/14-I27/14+J27/31</f>
        <v/>
      </c>
      <c r="M27">
        <f>'parameter_table'!$E$9</f>
        <v/>
      </c>
      <c r="N27">
        <f>1-'parameter_table'!$E$9</f>
        <v/>
      </c>
      <c r="T27">
        <f>-1</f>
        <v/>
      </c>
      <c r="U27">
        <f>M27*('parameter_table'!$E$24)+N27*('parameter_table'!$E$24)+O27*('parameter_table'!$E$24)+P27*('parameter_table'!$E$24)+Q27*('parameter_table'!$E$26)+R27*('parameter_table'!$E$25)+S27*('parameter_table'!$E$24)+T27*('parameter_table'!$E$24)+V27+W27</f>
        <v/>
      </c>
    </row>
    <row r="28">
      <c r="A28" t="n">
        <v>27</v>
      </c>
      <c r="B28" t="inlineStr">
        <is>
          <t>Precipitation</t>
        </is>
      </c>
      <c r="G28">
        <f>-(D28*('parameter_table'!$E$12)+E28*('parameter_table'!$E$14)+F28+H28+I28+M28*('parameter_table'!$E$18)+N28*('parameter_table'!$E$16)+O28*('parameter_table'!$E$10)+P28*('parameter_table'!$E$10)+S28*('parameter_table'!$E$10)+T28*('parameter_table'!$E$10))</f>
        <v/>
      </c>
      <c r="J28">
        <f>-1</f>
        <v/>
      </c>
      <c r="K28">
        <f>G28/14-H28/14-I28/14+J28/31</f>
        <v/>
      </c>
      <c r="U28">
        <f>1.42</f>
        <v/>
      </c>
      <c r="V28">
        <f>-3.45</f>
        <v/>
      </c>
      <c r="W28">
        <f>4.87</f>
        <v/>
      </c>
    </row>
    <row r="29">
      <c r="A29" t="n">
        <v>28</v>
      </c>
      <c r="B29" t="inlineStr">
        <is>
          <t>Redissolution</t>
        </is>
      </c>
      <c r="G29">
        <f>-(D29*('parameter_table'!$E$12)+E29*('parameter_table'!$E$14)+F29+H29+I29+M29*('parameter_table'!$E$18)+N29*('parameter_table'!$E$16)+O29*('parameter_table'!$E$10)+P29*('parameter_table'!$E$10)+S29*('parameter_table'!$E$10)+T29*('parameter_table'!$E$10))</f>
        <v/>
      </c>
      <c r="J29">
        <f>1</f>
        <v/>
      </c>
      <c r="K29">
        <f>G29/14-H29/14-I29/14+J29/31</f>
        <v/>
      </c>
      <c r="U29">
        <f>-1.42</f>
        <v/>
      </c>
      <c r="V29">
        <f>3.45</f>
        <v/>
      </c>
      <c r="W29">
        <f>-4.87</f>
        <v/>
      </c>
    </row>
  </sheetData>
  <autoFilter ref="A1:W2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26" customWidth="1" min="5" max="5"/>
    <col width="26" customWidth="1" min="6" max="6"/>
    <col width="26" customWidth="1" min="7" max="7"/>
    <col width="12" customWidth="1" min="8" max="8"/>
    <col width="26" customWidth="1" min="9" max="9"/>
  </cols>
  <sheetData>
    <row r="1">
      <c r="A1" s="1" t="inlineStr">
        <is>
          <t>state_group</t>
        </is>
      </c>
      <c r="B1" s="1" t="inlineStr">
        <is>
          <t>state_variable</t>
        </is>
      </c>
      <c r="C1" s="1" t="inlineStr">
        <is>
          <t>unit</t>
        </is>
      </c>
      <c r="D1" s="1" t="inlineStr">
        <is>
          <t>COD</t>
        </is>
      </c>
      <c r="E1" s="1" t="inlineStr">
        <is>
          <t>TN</t>
        </is>
      </c>
      <c r="F1" s="1" t="inlineStr">
        <is>
          <t>TKN</t>
        </is>
      </c>
      <c r="G1" s="1" t="inlineStr">
        <is>
          <t>TP</t>
        </is>
      </c>
      <c r="H1" s="1" t="inlineStr">
        <is>
          <t>TSS</t>
        </is>
      </c>
      <c r="I1" s="1" t="inlineStr">
        <is>
          <t>VSS</t>
        </is>
      </c>
    </row>
    <row r="2">
      <c r="A2" t="inlineStr">
        <is>
          <t>Dissolved</t>
        </is>
      </c>
      <c r="B2" t="inlineStr">
        <is>
          <t>S_A</t>
        </is>
      </c>
      <c r="C2" t="inlineStr">
        <is>
          <t>g COD/m^3</t>
        </is>
      </c>
      <c r="D2">
        <f>1</f>
        <v/>
      </c>
    </row>
    <row r="3">
      <c r="A3" t="inlineStr">
        <is>
          <t>Dissolved</t>
        </is>
      </c>
      <c r="B3" t="inlineStr">
        <is>
          <t>S_F</t>
        </is>
      </c>
      <c r="C3" t="inlineStr">
        <is>
          <t>g COD/m^3</t>
        </is>
      </c>
      <c r="D3">
        <f>1</f>
        <v/>
      </c>
      <c r="E3">
        <f>'parameter_table'!$E$12</f>
        <v/>
      </c>
      <c r="F3">
        <f>'parameter_table'!$E$12</f>
        <v/>
      </c>
      <c r="G3">
        <f>'parameter_table'!$E$13</f>
        <v/>
      </c>
    </row>
    <row r="4">
      <c r="A4" t="inlineStr">
        <is>
          <t>Dissolved</t>
        </is>
      </c>
      <c r="B4" t="inlineStr">
        <is>
          <t>S_I</t>
        </is>
      </c>
      <c r="C4" t="inlineStr">
        <is>
          <t>g COD/m^3</t>
        </is>
      </c>
      <c r="D4">
        <f>1</f>
        <v/>
      </c>
      <c r="E4">
        <f>'parameter_table'!$E$14</f>
        <v/>
      </c>
      <c r="F4">
        <f>'parameter_table'!$E$14</f>
        <v/>
      </c>
      <c r="G4">
        <f>'parameter_table'!$E$15</f>
        <v/>
      </c>
    </row>
    <row r="5">
      <c r="A5" t="inlineStr">
        <is>
          <t>Dissolved</t>
        </is>
      </c>
      <c r="B5" t="inlineStr">
        <is>
          <t>S_N2</t>
        </is>
      </c>
      <c r="C5" t="inlineStr">
        <is>
          <t>g N/m^3</t>
        </is>
      </c>
    </row>
    <row r="6">
      <c r="A6" t="inlineStr">
        <is>
          <t>Dissolved</t>
        </is>
      </c>
      <c r="B6" t="inlineStr">
        <is>
          <t>S_NH4</t>
        </is>
      </c>
      <c r="C6" t="inlineStr">
        <is>
          <t>g N/m^3</t>
        </is>
      </c>
      <c r="E6">
        <f>1</f>
        <v/>
      </c>
      <c r="F6">
        <f>1</f>
        <v/>
      </c>
    </row>
    <row r="7">
      <c r="A7" t="inlineStr">
        <is>
          <t>Dissolved</t>
        </is>
      </c>
      <c r="B7" t="inlineStr">
        <is>
          <t>S_NO2</t>
        </is>
      </c>
      <c r="C7" t="inlineStr">
        <is>
          <t>g N/m^3</t>
        </is>
      </c>
      <c r="E7">
        <f>1</f>
        <v/>
      </c>
    </row>
    <row r="8">
      <c r="A8" t="inlineStr">
        <is>
          <t>Dissolved</t>
        </is>
      </c>
      <c r="B8" t="inlineStr">
        <is>
          <t>S_NO3</t>
        </is>
      </c>
      <c r="C8" t="inlineStr">
        <is>
          <t>g N/m^3</t>
        </is>
      </c>
      <c r="E8">
        <f>1</f>
        <v/>
      </c>
    </row>
    <row r="9">
      <c r="A9" t="inlineStr">
        <is>
          <t>Dissolved</t>
        </is>
      </c>
      <c r="B9" t="inlineStr">
        <is>
          <t>S_PO4</t>
        </is>
      </c>
      <c r="C9" t="inlineStr">
        <is>
          <t>g P/m^3</t>
        </is>
      </c>
      <c r="G9">
        <f>1</f>
        <v/>
      </c>
    </row>
    <row r="10">
      <c r="A10" t="inlineStr">
        <is>
          <t>Dissolved</t>
        </is>
      </c>
      <c r="B10" t="inlineStr">
        <is>
          <t>S_ALK</t>
        </is>
      </c>
      <c r="C10" t="inlineStr">
        <is>
          <t>mol/m^3</t>
        </is>
      </c>
    </row>
    <row r="11">
      <c r="A11" t="inlineStr">
        <is>
          <t>Dissolved</t>
        </is>
      </c>
      <c r="B11" t="inlineStr">
        <is>
          <t>S_O2</t>
        </is>
      </c>
      <c r="C11" t="inlineStr">
        <is>
          <t>g O2/m^3</t>
        </is>
      </c>
    </row>
    <row r="12">
      <c r="A12" t="inlineStr">
        <is>
          <t>Particulate</t>
        </is>
      </c>
      <c r="B12" t="inlineStr">
        <is>
          <t>X_I</t>
        </is>
      </c>
      <c r="C12" t="inlineStr">
        <is>
          <t>g COD/m^3</t>
        </is>
      </c>
      <c r="D12">
        <f>1</f>
        <v/>
      </c>
      <c r="E12">
        <f>'parameter_table'!$E$18</f>
        <v/>
      </c>
      <c r="F12">
        <f>'parameter_table'!$E$18</f>
        <v/>
      </c>
      <c r="G12">
        <f>'parameter_table'!$E$19</f>
        <v/>
      </c>
      <c r="I12">
        <f>'parameter_table'!$E$21</f>
        <v/>
      </c>
    </row>
    <row r="13">
      <c r="A13" t="inlineStr">
        <is>
          <t>Particulate</t>
        </is>
      </c>
      <c r="B13" t="inlineStr">
        <is>
          <t>X_S</t>
        </is>
      </c>
      <c r="C13" t="inlineStr">
        <is>
          <t>g COD/m^3</t>
        </is>
      </c>
      <c r="D13">
        <f>1</f>
        <v/>
      </c>
      <c r="E13">
        <f>'parameter_table'!$E$16</f>
        <v/>
      </c>
      <c r="F13">
        <f>'parameter_table'!$E$16</f>
        <v/>
      </c>
      <c r="G13">
        <f>'parameter_table'!$E$17</f>
        <v/>
      </c>
      <c r="I13">
        <f>'parameter_table'!$E$22</f>
        <v/>
      </c>
    </row>
    <row r="14">
      <c r="A14" t="inlineStr">
        <is>
          <t>Particulate</t>
        </is>
      </c>
      <c r="B14" t="inlineStr">
        <is>
          <t>X_H</t>
        </is>
      </c>
      <c r="C14" t="inlineStr">
        <is>
          <t>g COD/m^3</t>
        </is>
      </c>
      <c r="D14">
        <f>1</f>
        <v/>
      </c>
      <c r="E14">
        <f>'parameter_table'!$E$10</f>
        <v/>
      </c>
      <c r="F14">
        <f>'parameter_table'!$E$10</f>
        <v/>
      </c>
      <c r="G14">
        <f>'parameter_table'!$E$11</f>
        <v/>
      </c>
      <c r="I14">
        <f>'parameter_table'!$E$20</f>
        <v/>
      </c>
    </row>
    <row r="15">
      <c r="A15" t="inlineStr">
        <is>
          <t>Particulate</t>
        </is>
      </c>
      <c r="B15" t="inlineStr">
        <is>
          <t>X_PAO</t>
        </is>
      </c>
      <c r="C15" t="inlineStr">
        <is>
          <t>g COD/m^3</t>
        </is>
      </c>
      <c r="D15">
        <f>1</f>
        <v/>
      </c>
      <c r="E15">
        <f>'parameter_table'!$E$10</f>
        <v/>
      </c>
      <c r="F15">
        <f>'parameter_table'!$E$10</f>
        <v/>
      </c>
      <c r="G15">
        <f>'parameter_table'!$E$11</f>
        <v/>
      </c>
      <c r="I15">
        <f>'parameter_table'!$E$20</f>
        <v/>
      </c>
    </row>
    <row r="16">
      <c r="A16" t="inlineStr">
        <is>
          <t>Particulate</t>
        </is>
      </c>
      <c r="B16" t="inlineStr">
        <is>
          <t>X_PP</t>
        </is>
      </c>
      <c r="C16" t="inlineStr">
        <is>
          <t>g P/m^3</t>
        </is>
      </c>
      <c r="G16">
        <f>1</f>
        <v/>
      </c>
    </row>
    <row r="17">
      <c r="A17" t="inlineStr">
        <is>
          <t>Particulate</t>
        </is>
      </c>
      <c r="B17" t="inlineStr">
        <is>
          <t>X_PHA</t>
        </is>
      </c>
      <c r="C17" t="inlineStr">
        <is>
          <t>g COD/m^3</t>
        </is>
      </c>
      <c r="D17">
        <f>1</f>
        <v/>
      </c>
      <c r="I17">
        <f>'parameter_table'!$E$23</f>
        <v/>
      </c>
    </row>
    <row r="18">
      <c r="A18" t="inlineStr">
        <is>
          <t>Particulate</t>
        </is>
      </c>
      <c r="B18" t="inlineStr">
        <is>
          <t>X_AOB</t>
        </is>
      </c>
      <c r="C18" t="inlineStr">
        <is>
          <t>g COD/m^3</t>
        </is>
      </c>
      <c r="D18">
        <f>1</f>
        <v/>
      </c>
      <c r="E18">
        <f>'parameter_table'!$E$10</f>
        <v/>
      </c>
      <c r="F18">
        <f>'parameter_table'!$E$10</f>
        <v/>
      </c>
      <c r="G18">
        <f>'parameter_table'!$E$11</f>
        <v/>
      </c>
      <c r="I18">
        <f>'parameter_table'!$E$20</f>
        <v/>
      </c>
    </row>
    <row r="19">
      <c r="A19" t="inlineStr">
        <is>
          <t>Particulate</t>
        </is>
      </c>
      <c r="B19" t="inlineStr">
        <is>
          <t>X_NOB</t>
        </is>
      </c>
      <c r="C19" t="inlineStr">
        <is>
          <t>g COD/m^3</t>
        </is>
      </c>
      <c r="D19">
        <f>1</f>
        <v/>
      </c>
      <c r="E19">
        <f>'parameter_table'!$E$10</f>
        <v/>
      </c>
      <c r="F19">
        <f>'parameter_table'!$E$10</f>
        <v/>
      </c>
      <c r="G19">
        <f>'parameter_table'!$E$11</f>
        <v/>
      </c>
      <c r="I19">
        <f>'parameter_table'!$E$20</f>
        <v/>
      </c>
    </row>
    <row r="20">
      <c r="A20" t="inlineStr">
        <is>
          <t>Particulate</t>
        </is>
      </c>
      <c r="B20" t="inlineStr">
        <is>
          <t>X_TSS</t>
        </is>
      </c>
      <c r="C20" t="inlineStr">
        <is>
          <t>g TSS/m^3</t>
        </is>
      </c>
      <c r="H20">
        <f>1</f>
        <v/>
      </c>
    </row>
    <row r="21">
      <c r="A21" t="inlineStr">
        <is>
          <t>Particulate</t>
        </is>
      </c>
      <c r="B21" t="inlineStr">
        <is>
          <t>X_MeOH</t>
        </is>
      </c>
      <c r="C21" t="inlineStr">
        <is>
          <t>g TSS/m^3</t>
        </is>
      </c>
    </row>
    <row r="22">
      <c r="A22" t="inlineStr">
        <is>
          <t>Particulate</t>
        </is>
      </c>
      <c r="B22" t="inlineStr">
        <is>
          <t>X_MeP</t>
        </is>
      </c>
      <c r="C22" t="inlineStr">
        <is>
          <t>g TSS/m^3</t>
        </is>
      </c>
      <c r="G22">
        <f>'parameter_table'!$E$27</f>
        <v/>
      </c>
    </row>
  </sheetData>
  <autoFilter ref="A1:I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48" customWidth="1" min="4" max="4"/>
    <col width="12" customWidth="1" min="5" max="5"/>
    <col width="19" customWidth="1" min="6" max="6"/>
  </cols>
  <sheetData>
    <row r="1">
      <c r="A1" s="1" t="inlineStr">
        <is>
          <t>category</t>
        </is>
      </c>
      <c r="B1" s="1" t="inlineStr">
        <is>
          <t>symbol</t>
        </is>
      </c>
      <c r="C1" s="1" t="inlineStr">
        <is>
          <t>excel_name</t>
        </is>
      </c>
      <c r="D1" s="1" t="inlineStr">
        <is>
          <t>description</t>
        </is>
      </c>
      <c r="E1" s="1" t="inlineStr">
        <is>
          <t>value</t>
        </is>
      </c>
      <c r="F1" s="1" t="inlineStr">
        <is>
          <t>unit</t>
        </is>
      </c>
    </row>
    <row r="2">
      <c r="A2" s="2" t="inlineStr">
        <is>
          <t>Stoichiometric Parameters</t>
        </is>
      </c>
      <c r="B2" s="2" t="inlineStr">
        <is>
          <t>Y_H</t>
        </is>
      </c>
      <c r="C2" s="2" t="inlineStr">
        <is>
          <t>Y_H</t>
        </is>
      </c>
      <c r="D2" s="2" t="inlineStr">
        <is>
          <t>Heterotrophic yield</t>
        </is>
      </c>
      <c r="E2" s="3" t="n">
        <v>0.625</v>
      </c>
      <c r="F2" s="2" t="inlineStr">
        <is>
          <t>g COD/g COD</t>
        </is>
      </c>
    </row>
    <row r="3">
      <c r="A3" t="inlineStr">
        <is>
          <t>Stoichiometric Parameters</t>
        </is>
      </c>
      <c r="B3" t="inlineStr">
        <is>
          <t>Y_PAO</t>
        </is>
      </c>
      <c r="C3" t="inlineStr">
        <is>
          <t>Y_PAO</t>
        </is>
      </c>
      <c r="D3" t="inlineStr">
        <is>
          <t>PAO yield</t>
        </is>
      </c>
      <c r="E3" s="4" t="n">
        <v>0.625</v>
      </c>
      <c r="F3" t="inlineStr">
        <is>
          <t>g COD/g COD</t>
        </is>
      </c>
    </row>
    <row r="4">
      <c r="A4" t="inlineStr">
        <is>
          <t>Stoichiometric Parameters</t>
        </is>
      </c>
      <c r="B4" t="inlineStr">
        <is>
          <t>Y_PHA</t>
        </is>
      </c>
      <c r="C4" t="inlineStr">
        <is>
          <t>Y_PHA</t>
        </is>
      </c>
      <c r="D4" t="inlineStr">
        <is>
          <t>PHA requirement for PP storage</t>
        </is>
      </c>
      <c r="E4" s="4" t="n">
        <v>0.2</v>
      </c>
      <c r="F4" t="inlineStr">
        <is>
          <t>g COD/g P</t>
        </is>
      </c>
    </row>
    <row r="5">
      <c r="A5" t="inlineStr">
        <is>
          <t>Stoichiometric Parameters</t>
        </is>
      </c>
      <c r="B5" t="inlineStr">
        <is>
          <t>Y_PO4</t>
        </is>
      </c>
      <c r="C5" t="inlineStr">
        <is>
          <t>Y_PO4</t>
        </is>
      </c>
      <c r="D5" t="inlineStr">
        <is>
          <t>PP requirement for PHA storage</t>
        </is>
      </c>
      <c r="E5" s="4" t="n">
        <v>0.4</v>
      </c>
      <c r="F5" t="inlineStr">
        <is>
          <t>g P/g COD</t>
        </is>
      </c>
    </row>
    <row r="6">
      <c r="A6" t="inlineStr">
        <is>
          <t>Stoichiometric Parameters</t>
        </is>
      </c>
      <c r="B6" t="inlineStr">
        <is>
          <t>Y_AOB</t>
        </is>
      </c>
      <c r="C6" t="inlineStr">
        <is>
          <t>Y_AOB</t>
        </is>
      </c>
      <c r="D6" t="inlineStr">
        <is>
          <t>AOB yield</t>
        </is>
      </c>
      <c r="E6" s="4" t="n">
        <v>0.24</v>
      </c>
      <c r="F6" t="inlineStr">
        <is>
          <t>g COD/g N</t>
        </is>
      </c>
    </row>
    <row r="7">
      <c r="A7" t="inlineStr">
        <is>
          <t>Stoichiometric Parameters</t>
        </is>
      </c>
      <c r="B7" t="inlineStr">
        <is>
          <t>Y_NOB</t>
        </is>
      </c>
      <c r="C7" t="inlineStr">
        <is>
          <t>Y_NOB</t>
        </is>
      </c>
      <c r="D7" t="inlineStr">
        <is>
          <t>NOB yield</t>
        </is>
      </c>
      <c r="E7" s="4" t="n">
        <v>0.06</v>
      </c>
      <c r="F7" t="inlineStr">
        <is>
          <t>g COD/g N</t>
        </is>
      </c>
    </row>
    <row r="8">
      <c r="A8" t="inlineStr">
        <is>
          <t>Stoichiometric Parameters</t>
        </is>
      </c>
      <c r="B8" t="inlineStr">
        <is>
          <t>f_SI</t>
        </is>
      </c>
      <c r="C8" t="inlineStr">
        <is>
          <t>f_SI</t>
        </is>
      </c>
      <c r="D8" t="inlineStr">
        <is>
          <t>Production of S_I in hydrolysis</t>
        </is>
      </c>
      <c r="E8" s="4" t="n">
        <v>0</v>
      </c>
      <c r="F8" t="inlineStr">
        <is>
          <t>g COD/g COD</t>
        </is>
      </c>
    </row>
    <row r="9">
      <c r="A9" t="inlineStr">
        <is>
          <t>Stoichiometric Parameters</t>
        </is>
      </c>
      <c r="B9" t="inlineStr">
        <is>
          <t>f_XIBM</t>
        </is>
      </c>
      <c r="C9" t="inlineStr">
        <is>
          <t>f_XIBM</t>
        </is>
      </c>
      <c r="D9" t="inlineStr">
        <is>
          <t>Fraction of inert COD generated in biomass lysis</t>
        </is>
      </c>
      <c r="E9" s="4" t="n">
        <v>0.1</v>
      </c>
      <c r="F9" t="inlineStr">
        <is>
          <t>g COD/g COD</t>
        </is>
      </c>
    </row>
    <row r="10">
      <c r="A10" s="2" t="inlineStr">
        <is>
          <t>Composition Parameters</t>
        </is>
      </c>
      <c r="B10" s="2" t="inlineStr">
        <is>
          <t>i_NBM</t>
        </is>
      </c>
      <c r="C10" s="2" t="inlineStr">
        <is>
          <t>i_NBM</t>
        </is>
      </c>
      <c r="D10" s="2" t="inlineStr">
        <is>
          <t>Nitrogen content of biomass</t>
        </is>
      </c>
      <c r="E10" s="3" t="n">
        <v>0.08599999999999999</v>
      </c>
      <c r="F10" s="2" t="inlineStr">
        <is>
          <t>g N/g COD</t>
        </is>
      </c>
    </row>
    <row r="11">
      <c r="A11" t="inlineStr">
        <is>
          <t>Composition Parameters</t>
        </is>
      </c>
      <c r="B11" t="inlineStr">
        <is>
          <t>i_PBM</t>
        </is>
      </c>
      <c r="C11" t="inlineStr">
        <is>
          <t>i_PBM</t>
        </is>
      </c>
      <c r="D11" t="inlineStr">
        <is>
          <t>Phosphorus content of biomass</t>
        </is>
      </c>
      <c r="E11" s="4" t="n">
        <v>0.02</v>
      </c>
      <c r="F11" t="inlineStr">
        <is>
          <t>g P/g COD</t>
        </is>
      </c>
    </row>
    <row r="12">
      <c r="A12" t="inlineStr">
        <is>
          <t>Composition Parameters</t>
        </is>
      </c>
      <c r="B12" t="inlineStr">
        <is>
          <t>i_NSF</t>
        </is>
      </c>
      <c r="C12" t="inlineStr">
        <is>
          <t>i_NSF</t>
        </is>
      </c>
      <c r="D12" t="inlineStr">
        <is>
          <t>Nitrogen content of S_F</t>
        </is>
      </c>
      <c r="E12" s="4" t="n">
        <v>0.03</v>
      </c>
      <c r="F12" t="inlineStr">
        <is>
          <t>g N/g COD</t>
        </is>
      </c>
    </row>
    <row r="13">
      <c r="A13" t="inlineStr">
        <is>
          <t>Composition Parameters</t>
        </is>
      </c>
      <c r="B13" t="inlineStr">
        <is>
          <t>i_PSF</t>
        </is>
      </c>
      <c r="C13" t="inlineStr">
        <is>
          <t>i_PSF</t>
        </is>
      </c>
      <c r="D13" t="inlineStr">
        <is>
          <t>Phosphorus content of S_F</t>
        </is>
      </c>
      <c r="E13" s="4" t="n">
        <v>0.01</v>
      </c>
      <c r="F13" t="inlineStr">
        <is>
          <t>g P/g COD</t>
        </is>
      </c>
    </row>
    <row r="14">
      <c r="A14" t="inlineStr">
        <is>
          <t>Composition Parameters</t>
        </is>
      </c>
      <c r="B14" t="inlineStr">
        <is>
          <t>i_NSI</t>
        </is>
      </c>
      <c r="C14" t="inlineStr">
        <is>
          <t>i_NSI</t>
        </is>
      </c>
      <c r="D14" t="inlineStr">
        <is>
          <t>Nitrogen content of S_I</t>
        </is>
      </c>
      <c r="E14" s="4" t="n">
        <v>0.01</v>
      </c>
      <c r="F14" t="inlineStr">
        <is>
          <t>g N/g COD</t>
        </is>
      </c>
    </row>
    <row r="15">
      <c r="A15" t="inlineStr">
        <is>
          <t>Composition Parameters</t>
        </is>
      </c>
      <c r="B15" t="inlineStr">
        <is>
          <t>i_PSI</t>
        </is>
      </c>
      <c r="C15" t="inlineStr">
        <is>
          <t>i_PSI</t>
        </is>
      </c>
      <c r="D15" t="inlineStr">
        <is>
          <t>Phosphorus content of S_I</t>
        </is>
      </c>
      <c r="E15" s="4" t="n">
        <v>0</v>
      </c>
      <c r="F15" t="inlineStr">
        <is>
          <t>g P/g COD</t>
        </is>
      </c>
    </row>
    <row r="16">
      <c r="A16" t="inlineStr">
        <is>
          <t>Composition Parameters</t>
        </is>
      </c>
      <c r="B16" t="inlineStr">
        <is>
          <t>i_NXS</t>
        </is>
      </c>
      <c r="C16" t="inlineStr">
        <is>
          <t>i_NXS</t>
        </is>
      </c>
      <c r="D16" t="inlineStr">
        <is>
          <t>Nitrogen content of X_S</t>
        </is>
      </c>
      <c r="E16" s="4" t="n">
        <v>0.04</v>
      </c>
      <c r="F16" t="inlineStr">
        <is>
          <t>g N/g COD</t>
        </is>
      </c>
    </row>
    <row r="17">
      <c r="A17" t="inlineStr">
        <is>
          <t>Composition Parameters</t>
        </is>
      </c>
      <c r="B17" t="inlineStr">
        <is>
          <t>i_PXS</t>
        </is>
      </c>
      <c r="C17" t="inlineStr">
        <is>
          <t>i_PXS</t>
        </is>
      </c>
      <c r="D17" t="inlineStr">
        <is>
          <t>Phosphorus content of X_S</t>
        </is>
      </c>
      <c r="E17" s="4" t="n">
        <v>0.01</v>
      </c>
      <c r="F17" t="inlineStr">
        <is>
          <t>g P/g COD</t>
        </is>
      </c>
    </row>
    <row r="18">
      <c r="A18" t="inlineStr">
        <is>
          <t>Composition Parameters</t>
        </is>
      </c>
      <c r="B18" t="inlineStr">
        <is>
          <t>i_NXI</t>
        </is>
      </c>
      <c r="C18" t="inlineStr">
        <is>
          <t>i_NXI</t>
        </is>
      </c>
      <c r="D18" t="inlineStr">
        <is>
          <t>Nitrogen content of X_I</t>
        </is>
      </c>
      <c r="E18" s="4" t="n">
        <v>0.02</v>
      </c>
      <c r="F18" t="inlineStr">
        <is>
          <t>g N/g COD</t>
        </is>
      </c>
    </row>
    <row r="19">
      <c r="A19" t="inlineStr">
        <is>
          <t>Composition Parameters</t>
        </is>
      </c>
      <c r="B19" t="inlineStr">
        <is>
          <t>i_PXI</t>
        </is>
      </c>
      <c r="C19" t="inlineStr">
        <is>
          <t>i_PXI</t>
        </is>
      </c>
      <c r="D19" t="inlineStr">
        <is>
          <t>Phosphorus content of X_I</t>
        </is>
      </c>
      <c r="E19" s="4" t="n">
        <v>0.01</v>
      </c>
      <c r="F19" t="inlineStr">
        <is>
          <t>g P/g COD</t>
        </is>
      </c>
    </row>
    <row r="20">
      <c r="A20" t="inlineStr">
        <is>
          <t>Composition Parameters</t>
        </is>
      </c>
      <c r="B20" t="inlineStr">
        <is>
          <t>i_VSS_BM</t>
        </is>
      </c>
      <c r="C20" t="inlineStr">
        <is>
          <t>i_VSS_BM</t>
        </is>
      </c>
      <c r="D20" t="inlineStr">
        <is>
          <t>VSS to COD ratio for biomass</t>
        </is>
      </c>
      <c r="E20" s="4" t="n">
        <v>0.75</v>
      </c>
      <c r="F20" t="inlineStr">
        <is>
          <t>g VSS/g COD</t>
        </is>
      </c>
    </row>
    <row r="21">
      <c r="A21" t="inlineStr">
        <is>
          <t>Composition Parameters</t>
        </is>
      </c>
      <c r="B21" t="inlineStr">
        <is>
          <t>i_VSS_XI</t>
        </is>
      </c>
      <c r="C21" t="inlineStr">
        <is>
          <t>i_VSS_XI</t>
        </is>
      </c>
      <c r="D21" t="inlineStr">
        <is>
          <t>VSS to COD ratio for X_I</t>
        </is>
      </c>
      <c r="E21" s="4" t="n">
        <v>0.75</v>
      </c>
      <c r="F21" t="inlineStr">
        <is>
          <t>g VSS/g COD</t>
        </is>
      </c>
    </row>
    <row r="22">
      <c r="A22" t="inlineStr">
        <is>
          <t>Composition Parameters</t>
        </is>
      </c>
      <c r="B22" t="inlineStr">
        <is>
          <t>i_VSS_XS</t>
        </is>
      </c>
      <c r="C22" t="inlineStr">
        <is>
          <t>i_VSS_XS</t>
        </is>
      </c>
      <c r="D22" t="inlineStr">
        <is>
          <t>VSS to COD ratio for X_S</t>
        </is>
      </c>
      <c r="E22" s="4" t="n">
        <v>0.75</v>
      </c>
      <c r="F22" t="inlineStr">
        <is>
          <t>g VSS/g COD</t>
        </is>
      </c>
    </row>
    <row r="23">
      <c r="A23" t="inlineStr">
        <is>
          <t>Composition Parameters</t>
        </is>
      </c>
      <c r="B23" t="inlineStr">
        <is>
          <t>i_VSS_PHA</t>
        </is>
      </c>
      <c r="C23" t="inlineStr">
        <is>
          <t>i_VSS_PHA</t>
        </is>
      </c>
      <c r="D23" t="inlineStr">
        <is>
          <t>VSS to COD ratio for X_PHA</t>
        </is>
      </c>
      <c r="E23" s="4" t="n">
        <v>0.75</v>
      </c>
      <c r="F23" t="inlineStr">
        <is>
          <t>g VSS/g COD</t>
        </is>
      </c>
    </row>
    <row r="24">
      <c r="A24" t="inlineStr">
        <is>
          <t>Composition Parameters</t>
        </is>
      </c>
      <c r="B24" t="inlineStr">
        <is>
          <t>i_TSS_i</t>
        </is>
      </c>
      <c r="C24" t="inlineStr">
        <is>
          <t>i_TSS_i</t>
        </is>
      </c>
      <c r="D24" t="inlineStr">
        <is>
          <t>TSS to COD ratio for organic particulates</t>
        </is>
      </c>
      <c r="E24" s="4" t="n">
        <v>0.75</v>
      </c>
      <c r="F24" t="inlineStr">
        <is>
          <t>g TSS/g COD</t>
        </is>
      </c>
    </row>
    <row r="25">
      <c r="A25" t="inlineStr">
        <is>
          <t>Composition Parameters</t>
        </is>
      </c>
      <c r="B25" t="inlineStr">
        <is>
          <t>i_TSS_PHA</t>
        </is>
      </c>
      <c r="C25" t="inlineStr">
        <is>
          <t>i_TSS_PHA</t>
        </is>
      </c>
      <c r="D25" t="inlineStr">
        <is>
          <t>TSS to COD ratio for X_PHA</t>
        </is>
      </c>
      <c r="E25" s="4" t="n">
        <v>0.6</v>
      </c>
      <c r="F25" t="inlineStr">
        <is>
          <t>g TSS/g COD</t>
        </is>
      </c>
    </row>
    <row r="26">
      <c r="A26" t="inlineStr">
        <is>
          <t>Composition Parameters</t>
        </is>
      </c>
      <c r="B26" t="inlineStr">
        <is>
          <t>i_TSS_PP</t>
        </is>
      </c>
      <c r="C26" t="inlineStr">
        <is>
          <t>i_TSS_PP</t>
        </is>
      </c>
      <c r="D26" t="inlineStr">
        <is>
          <t>TSS to P ratio for X_PP</t>
        </is>
      </c>
      <c r="E26" s="4" t="n">
        <v>3.23</v>
      </c>
      <c r="F26" t="inlineStr">
        <is>
          <t>g TSS/g P</t>
        </is>
      </c>
    </row>
    <row r="27">
      <c r="A27" t="inlineStr">
        <is>
          <t>Composition Parameters</t>
        </is>
      </c>
      <c r="B27" t="inlineStr">
        <is>
          <t>i_PMeP</t>
        </is>
      </c>
      <c r="C27" t="inlineStr">
        <is>
          <t>i_PMeP</t>
        </is>
      </c>
      <c r="D27" t="inlineStr">
        <is>
          <t>Phosphorus content of X_MeP</t>
        </is>
      </c>
      <c r="E27" s="4" t="n">
        <v>0.205</v>
      </c>
      <c r="F27" t="inlineStr">
        <is>
          <t>g P/g TSS</t>
        </is>
      </c>
    </row>
    <row r="28">
      <c r="A28" s="2" t="inlineStr">
        <is>
          <t>Kinetic Parameters (Hydrolysis)</t>
        </is>
      </c>
      <c r="B28" s="2" t="inlineStr">
        <is>
          <t>K_h</t>
        </is>
      </c>
      <c r="C28" s="2" t="inlineStr">
        <is>
          <t>K_h</t>
        </is>
      </c>
      <c r="D28" s="2" t="inlineStr">
        <is>
          <t>Hydrolysis rate constant</t>
        </is>
      </c>
      <c r="E28" s="3" t="n">
        <v>3</v>
      </c>
      <c r="F28" s="2" t="inlineStr">
        <is>
          <t>d^-1</t>
        </is>
      </c>
    </row>
    <row r="29">
      <c r="A29" t="inlineStr">
        <is>
          <t>Kinetic Parameters (Hydrolysis)</t>
        </is>
      </c>
      <c r="B29" t="inlineStr">
        <is>
          <t>eta_NO3</t>
        </is>
      </c>
      <c r="C29" t="inlineStr">
        <is>
          <t>eta_NO3</t>
        </is>
      </c>
      <c r="D29" t="inlineStr">
        <is>
          <t>Anoxic hydrolysis reduction factor (NO3)</t>
        </is>
      </c>
      <c r="E29" s="4" t="n">
        <v>0.6</v>
      </c>
      <c r="F29" t="inlineStr">
        <is>
          <t>-</t>
        </is>
      </c>
    </row>
    <row r="30">
      <c r="A30" t="inlineStr">
        <is>
          <t>Kinetic Parameters (Hydrolysis)</t>
        </is>
      </c>
      <c r="B30" t="inlineStr">
        <is>
          <t>eta_NO2</t>
        </is>
      </c>
      <c r="C30" t="inlineStr">
        <is>
          <t>eta_NO2</t>
        </is>
      </c>
      <c r="D30" t="inlineStr">
        <is>
          <t>Anoxic hydrolysis reduction factor (NO2)</t>
        </is>
      </c>
      <c r="E30" s="4" t="n">
        <v>0.6</v>
      </c>
      <c r="F30" t="inlineStr">
        <is>
          <t>-</t>
        </is>
      </c>
    </row>
    <row r="31">
      <c r="A31" t="inlineStr">
        <is>
          <t>Kinetic Parameters (Hydrolysis)</t>
        </is>
      </c>
      <c r="B31" t="inlineStr">
        <is>
          <t>eta_fe</t>
        </is>
      </c>
      <c r="C31" t="inlineStr">
        <is>
          <t>eta_fe</t>
        </is>
      </c>
      <c r="D31" t="inlineStr">
        <is>
          <t>Anaerobic hydrolysis reduction factor</t>
        </is>
      </c>
      <c r="E31" s="4" t="n">
        <v>0.4</v>
      </c>
      <c r="F31" t="inlineStr">
        <is>
          <t>-</t>
        </is>
      </c>
    </row>
    <row r="32">
      <c r="A32" t="inlineStr">
        <is>
          <t>Kinetic Parameters (Hydrolysis)</t>
        </is>
      </c>
      <c r="B32" t="inlineStr">
        <is>
          <t>K_X</t>
        </is>
      </c>
      <c r="C32" t="inlineStr">
        <is>
          <t>K_X</t>
        </is>
      </c>
      <c r="D32" t="inlineStr">
        <is>
          <t>Half-saturation constant for particulate COD</t>
        </is>
      </c>
      <c r="E32" s="4" t="n">
        <v>0.1</v>
      </c>
      <c r="F32" t="inlineStr">
        <is>
          <t>g COD/g COD</t>
        </is>
      </c>
    </row>
    <row r="33">
      <c r="A33" s="2" t="inlineStr">
        <is>
          <t>Kinetic Parameters (Heterotrophs)</t>
        </is>
      </c>
      <c r="B33" s="2" t="inlineStr">
        <is>
          <t>mu_H</t>
        </is>
      </c>
      <c r="C33" s="2" t="inlineStr">
        <is>
          <t>mu_H</t>
        </is>
      </c>
      <c r="D33" s="2" t="inlineStr">
        <is>
          <t>Maximum growth rate on substrate</t>
        </is>
      </c>
      <c r="E33" s="3" t="n">
        <v>6</v>
      </c>
      <c r="F33" s="2" t="inlineStr">
        <is>
          <t>d^-1</t>
        </is>
      </c>
    </row>
    <row r="34">
      <c r="A34" t="inlineStr">
        <is>
          <t>Kinetic Parameters (Heterotrophs)</t>
        </is>
      </c>
      <c r="B34" t="inlineStr">
        <is>
          <t>q_fe</t>
        </is>
      </c>
      <c r="C34" t="inlineStr">
        <is>
          <t>q_fe</t>
        </is>
      </c>
      <c r="D34" t="inlineStr">
        <is>
          <t>Maximum rate for fermentation</t>
        </is>
      </c>
      <c r="E34" s="4" t="n">
        <v>3</v>
      </c>
      <c r="F34" t="inlineStr">
        <is>
          <t>d^-1</t>
        </is>
      </c>
    </row>
    <row r="35">
      <c r="A35" t="inlineStr">
        <is>
          <t>Kinetic Parameters (Heterotrophs)</t>
        </is>
      </c>
      <c r="B35" t="inlineStr">
        <is>
          <t>b_H</t>
        </is>
      </c>
      <c r="C35" t="inlineStr">
        <is>
          <t>b_H</t>
        </is>
      </c>
      <c r="D35" t="inlineStr">
        <is>
          <t>Rate constant for lysis and decay</t>
        </is>
      </c>
      <c r="E35" s="4" t="n">
        <v>0.4</v>
      </c>
      <c r="F35" t="inlineStr">
        <is>
          <t>d^-1</t>
        </is>
      </c>
    </row>
    <row r="36">
      <c r="A36" t="inlineStr">
        <is>
          <t>Kinetic Parameters (Heterotrophs)</t>
        </is>
      </c>
      <c r="B36" t="inlineStr">
        <is>
          <t>K_O2</t>
        </is>
      </c>
      <c r="C36" t="inlineStr">
        <is>
          <t>K_O2</t>
        </is>
      </c>
      <c r="D36" t="inlineStr">
        <is>
          <t>Half-saturation constant for oxygen</t>
        </is>
      </c>
      <c r="E36" s="4" t="n">
        <v>0.2</v>
      </c>
      <c r="F36" t="inlineStr">
        <is>
          <t>g O2/m^3</t>
        </is>
      </c>
    </row>
    <row r="37">
      <c r="A37" t="inlineStr">
        <is>
          <t>Kinetic Parameters (Heterotrophs)</t>
        </is>
      </c>
      <c r="B37" t="inlineStr">
        <is>
          <t>K_F</t>
        </is>
      </c>
      <c r="C37" t="inlineStr">
        <is>
          <t>K_F</t>
        </is>
      </c>
      <c r="D37" t="inlineStr">
        <is>
          <t>Half-saturation constant for growth on S_F</t>
        </is>
      </c>
      <c r="E37" s="4" t="n">
        <v>4</v>
      </c>
      <c r="F37" t="inlineStr">
        <is>
          <t>g COD/m^3</t>
        </is>
      </c>
    </row>
    <row r="38">
      <c r="A38" t="inlineStr">
        <is>
          <t>Kinetic Parameters (Heterotrophs)</t>
        </is>
      </c>
      <c r="B38" t="inlineStr">
        <is>
          <t>K_fe</t>
        </is>
      </c>
      <c r="C38" t="inlineStr">
        <is>
          <t>K_fe</t>
        </is>
      </c>
      <c r="D38" t="inlineStr">
        <is>
          <t>Half-saturation constant for fermentation of S_F</t>
        </is>
      </c>
      <c r="E38" s="4" t="n">
        <v>4</v>
      </c>
      <c r="F38" t="inlineStr">
        <is>
          <t>g COD/m^3</t>
        </is>
      </c>
    </row>
    <row r="39">
      <c r="A39" t="inlineStr">
        <is>
          <t>Kinetic Parameters (Heterotrophs)</t>
        </is>
      </c>
      <c r="B39" t="inlineStr">
        <is>
          <t>K_A</t>
        </is>
      </c>
      <c r="C39" t="inlineStr">
        <is>
          <t>K_A</t>
        </is>
      </c>
      <c r="D39" t="inlineStr">
        <is>
          <t>Half-saturation constant for growth on S_A</t>
        </is>
      </c>
      <c r="E39" s="4" t="n">
        <v>4</v>
      </c>
      <c r="F39" t="inlineStr">
        <is>
          <t>g COD/m^3</t>
        </is>
      </c>
    </row>
    <row r="40">
      <c r="A40" t="inlineStr">
        <is>
          <t>Kinetic Parameters (Heterotrophs)</t>
        </is>
      </c>
      <c r="B40" t="inlineStr">
        <is>
          <t>K_NO3</t>
        </is>
      </c>
      <c r="C40" t="inlineStr">
        <is>
          <t>K_NO3</t>
        </is>
      </c>
      <c r="D40" t="inlineStr">
        <is>
          <t>Half-saturation constant for nitrate</t>
        </is>
      </c>
      <c r="E40" s="4" t="n">
        <v>0.5</v>
      </c>
      <c r="F40" t="inlineStr">
        <is>
          <t>g N/m^3</t>
        </is>
      </c>
    </row>
    <row r="41">
      <c r="A41" t="inlineStr">
        <is>
          <t>Kinetic Parameters (Heterotrophs)</t>
        </is>
      </c>
      <c r="B41" t="inlineStr">
        <is>
          <t>K_NO2</t>
        </is>
      </c>
      <c r="C41" t="inlineStr">
        <is>
          <t>K_NO2</t>
        </is>
      </c>
      <c r="D41" t="inlineStr">
        <is>
          <t>Half-saturation constant for nitrite</t>
        </is>
      </c>
      <c r="E41" s="4" t="n">
        <v>0.5</v>
      </c>
      <c r="F41" t="inlineStr">
        <is>
          <t>g N/m^3</t>
        </is>
      </c>
    </row>
    <row r="42">
      <c r="A42" t="inlineStr">
        <is>
          <t>Kinetic Parameters (Heterotrophs)</t>
        </is>
      </c>
      <c r="B42" t="inlineStr">
        <is>
          <t>K_NOX</t>
        </is>
      </c>
      <c r="C42" t="inlineStr">
        <is>
          <t>K_NOX</t>
        </is>
      </c>
      <c r="D42" t="inlineStr">
        <is>
          <t>Half-saturation constant for nitrogen oxides</t>
        </is>
      </c>
      <c r="E42" s="4" t="n">
        <v>0.5</v>
      </c>
      <c r="F42" t="inlineStr">
        <is>
          <t>g N/m^3</t>
        </is>
      </c>
    </row>
    <row r="43">
      <c r="A43" t="inlineStr">
        <is>
          <t>Kinetic Parameters (Heterotrophs)</t>
        </is>
      </c>
      <c r="B43" t="inlineStr">
        <is>
          <t>K_NH4</t>
        </is>
      </c>
      <c r="C43" t="inlineStr">
        <is>
          <t>K_NH4</t>
        </is>
      </c>
      <c r="D43" t="inlineStr">
        <is>
          <t>Half-saturation constant for ammonium</t>
        </is>
      </c>
      <c r="E43" s="4" t="n">
        <v>0.05</v>
      </c>
      <c r="F43" t="inlineStr">
        <is>
          <t>g N/m^3</t>
        </is>
      </c>
    </row>
    <row r="44">
      <c r="A44" t="inlineStr">
        <is>
          <t>Kinetic Parameters (Heterotrophs)</t>
        </is>
      </c>
      <c r="B44" t="inlineStr">
        <is>
          <t>K_PO4</t>
        </is>
      </c>
      <c r="C44" t="inlineStr">
        <is>
          <t>K_PO4</t>
        </is>
      </c>
      <c r="D44" t="inlineStr">
        <is>
          <t>Half-saturation constant for phosphate</t>
        </is>
      </c>
      <c r="E44" s="4" t="n">
        <v>0.01</v>
      </c>
      <c r="F44" t="inlineStr">
        <is>
          <t>g P/m^3</t>
        </is>
      </c>
    </row>
    <row r="45">
      <c r="A45" t="inlineStr">
        <is>
          <t>Kinetic Parameters (Heterotrophs)</t>
        </is>
      </c>
      <c r="B45" t="inlineStr">
        <is>
          <t>K_ALK</t>
        </is>
      </c>
      <c r="C45" t="inlineStr">
        <is>
          <t>K_ALK</t>
        </is>
      </c>
      <c r="D45" t="inlineStr">
        <is>
          <t>Half-saturation constant for alkalinity</t>
        </is>
      </c>
      <c r="E45" s="4" t="n">
        <v>0.1</v>
      </c>
      <c r="F45" t="inlineStr">
        <is>
          <t>mol HCO3-/m^3</t>
        </is>
      </c>
    </row>
    <row r="46">
      <c r="A46" s="2" t="inlineStr">
        <is>
          <t>Kinetic Parameters (PAOs)</t>
        </is>
      </c>
      <c r="B46" s="2" t="inlineStr">
        <is>
          <t>q_PHA</t>
        </is>
      </c>
      <c r="C46" s="2" t="inlineStr">
        <is>
          <t>q_PHA</t>
        </is>
      </c>
      <c r="D46" s="2" t="inlineStr">
        <is>
          <t>Rate constant for storage of X_PHA</t>
        </is>
      </c>
      <c r="E46" s="3" t="n">
        <v>3</v>
      </c>
      <c r="F46" s="2" t="inlineStr">
        <is>
          <t>d^-1</t>
        </is>
      </c>
    </row>
    <row r="47">
      <c r="A47" t="inlineStr">
        <is>
          <t>Kinetic Parameters (PAOs)</t>
        </is>
      </c>
      <c r="B47" t="inlineStr">
        <is>
          <t>q_PP</t>
        </is>
      </c>
      <c r="C47" t="inlineStr">
        <is>
          <t>q_PP</t>
        </is>
      </c>
      <c r="D47" t="inlineStr">
        <is>
          <t>Rate constant for storage of X_PP</t>
        </is>
      </c>
      <c r="E47" s="4" t="n">
        <v>1.5</v>
      </c>
      <c r="F47" t="inlineStr">
        <is>
          <t>d^-1</t>
        </is>
      </c>
    </row>
    <row r="48">
      <c r="A48" t="inlineStr">
        <is>
          <t>Kinetic Parameters (PAOs)</t>
        </is>
      </c>
      <c r="B48" t="inlineStr">
        <is>
          <t>mu_PAO</t>
        </is>
      </c>
      <c r="C48" t="inlineStr">
        <is>
          <t>mu_PAO</t>
        </is>
      </c>
      <c r="D48" t="inlineStr">
        <is>
          <t>Maximum growth rate of PAO</t>
        </is>
      </c>
      <c r="E48" s="4" t="n">
        <v>1</v>
      </c>
      <c r="F48" t="inlineStr">
        <is>
          <t>d^-1</t>
        </is>
      </c>
    </row>
    <row r="49">
      <c r="A49" t="inlineStr">
        <is>
          <t>Kinetic Parameters (PAOs)</t>
        </is>
      </c>
      <c r="B49" t="inlineStr">
        <is>
          <t>b_PAO</t>
        </is>
      </c>
      <c r="C49" t="inlineStr">
        <is>
          <t>b_PAO</t>
        </is>
      </c>
      <c r="D49" t="inlineStr">
        <is>
          <t>Lysis rate of X_PAO</t>
        </is>
      </c>
      <c r="E49" s="4" t="n">
        <v>0.2</v>
      </c>
      <c r="F49" t="inlineStr">
        <is>
          <t>d^-1</t>
        </is>
      </c>
    </row>
    <row r="50">
      <c r="A50" t="inlineStr">
        <is>
          <t>Kinetic Parameters (PAOs)</t>
        </is>
      </c>
      <c r="B50" t="inlineStr">
        <is>
          <t>b_PP</t>
        </is>
      </c>
      <c r="C50" t="inlineStr">
        <is>
          <t>b_PP</t>
        </is>
      </c>
      <c r="D50" t="inlineStr">
        <is>
          <t>Lysis rate of X_PP</t>
        </is>
      </c>
      <c r="E50" s="4" t="n">
        <v>0.2</v>
      </c>
      <c r="F50" t="inlineStr">
        <is>
          <t>d^-1</t>
        </is>
      </c>
    </row>
    <row r="51">
      <c r="A51" t="inlineStr">
        <is>
          <t>Kinetic Parameters (PAOs)</t>
        </is>
      </c>
      <c r="B51" t="inlineStr">
        <is>
          <t>b_PHA</t>
        </is>
      </c>
      <c r="C51" t="inlineStr">
        <is>
          <t>b_PHA</t>
        </is>
      </c>
      <c r="D51" t="inlineStr">
        <is>
          <t>Lysis rate of X_PHA</t>
        </is>
      </c>
      <c r="E51" s="4" t="n">
        <v>0.2</v>
      </c>
      <c r="F51" t="inlineStr">
        <is>
          <t>d^-1</t>
        </is>
      </c>
    </row>
    <row r="52">
      <c r="A52" t="inlineStr">
        <is>
          <t>Kinetic Parameters (PAOs)</t>
        </is>
      </c>
      <c r="B52" t="inlineStr">
        <is>
          <t>K_PS</t>
        </is>
      </c>
      <c r="C52" t="inlineStr">
        <is>
          <t>K_PS</t>
        </is>
      </c>
      <c r="D52" t="inlineStr">
        <is>
          <t>Half-saturation constant for phosphorus in PP</t>
        </is>
      </c>
      <c r="E52" s="4" t="n">
        <v>0.2</v>
      </c>
      <c r="F52" t="inlineStr">
        <is>
          <t>g P/g COD</t>
        </is>
      </c>
    </row>
    <row r="53">
      <c r="A53" t="inlineStr">
        <is>
          <t>Kinetic Parameters (PAOs)</t>
        </is>
      </c>
      <c r="B53" t="inlineStr">
        <is>
          <t>K_PP</t>
        </is>
      </c>
      <c r="C53" t="inlineStr">
        <is>
          <t>K_PP</t>
        </is>
      </c>
      <c r="D53" t="inlineStr">
        <is>
          <t>Half-saturation constant for poly-phosphate</t>
        </is>
      </c>
      <c r="E53" s="4" t="n">
        <v>0.01</v>
      </c>
      <c r="F53" t="inlineStr">
        <is>
          <t>g P/g COD</t>
        </is>
      </c>
    </row>
    <row r="54">
      <c r="A54" t="inlineStr">
        <is>
          <t>Kinetic Parameters (PAOs)</t>
        </is>
      </c>
      <c r="B54" t="inlineStr">
        <is>
          <t>K_max</t>
        </is>
      </c>
      <c r="C54" t="inlineStr">
        <is>
          <t>K_max</t>
        </is>
      </c>
      <c r="D54" t="inlineStr">
        <is>
          <t>Maximum ratio X_PP/X_PAO</t>
        </is>
      </c>
      <c r="E54" s="4" t="n">
        <v>0.34</v>
      </c>
      <c r="F54" t="inlineStr">
        <is>
          <t>g P/g COD</t>
        </is>
      </c>
    </row>
    <row r="55">
      <c r="A55" t="inlineStr">
        <is>
          <t>Kinetic Parameters (PAOs)</t>
        </is>
      </c>
      <c r="B55" t="inlineStr">
        <is>
          <t>K_IPP</t>
        </is>
      </c>
      <c r="C55" t="inlineStr">
        <is>
          <t>K_IPP</t>
        </is>
      </c>
      <c r="D55" t="inlineStr">
        <is>
          <t>Inhibition coefficient for PP storage</t>
        </is>
      </c>
      <c r="E55" s="4" t="n">
        <v>0.02</v>
      </c>
      <c r="F55" t="inlineStr">
        <is>
          <t>g P/g COD</t>
        </is>
      </c>
    </row>
    <row r="56">
      <c r="A56" t="inlineStr">
        <is>
          <t>Kinetic Parameters (PAOs)</t>
        </is>
      </c>
      <c r="B56" t="inlineStr">
        <is>
          <t>K_PHA</t>
        </is>
      </c>
      <c r="C56" t="inlineStr">
        <is>
          <t>K_PHA</t>
        </is>
      </c>
      <c r="D56" t="inlineStr">
        <is>
          <t>Half-saturation constant for PHA</t>
        </is>
      </c>
      <c r="E56" s="4" t="n">
        <v>0.01</v>
      </c>
      <c r="F56" t="inlineStr">
        <is>
          <t>g COD/g COD</t>
        </is>
      </c>
    </row>
    <row r="57">
      <c r="A57" s="2" t="inlineStr">
        <is>
          <t>Kinetic Parameters (AOB and NOB)</t>
        </is>
      </c>
      <c r="B57" s="2" t="inlineStr">
        <is>
          <t>mu_AOB</t>
        </is>
      </c>
      <c r="C57" s="2" t="inlineStr">
        <is>
          <t>mu_AOB</t>
        </is>
      </c>
      <c r="D57" s="2" t="inlineStr">
        <is>
          <t>Maximum growth rate of AOB</t>
        </is>
      </c>
      <c r="E57" s="3" t="n">
        <v>1</v>
      </c>
      <c r="F57" s="2" t="inlineStr">
        <is>
          <t>d^-1</t>
        </is>
      </c>
    </row>
    <row r="58">
      <c r="A58" t="inlineStr">
        <is>
          <t>Kinetic Parameters (AOB and NOB)</t>
        </is>
      </c>
      <c r="B58" t="inlineStr">
        <is>
          <t>mu_NOB</t>
        </is>
      </c>
      <c r="C58" t="inlineStr">
        <is>
          <t>mu_NOB</t>
        </is>
      </c>
      <c r="D58" t="inlineStr">
        <is>
          <t>Maximum growth rate of NOB</t>
        </is>
      </c>
      <c r="E58" s="4" t="n">
        <v>0.7</v>
      </c>
      <c r="F58" t="inlineStr">
        <is>
          <t>d^-1</t>
        </is>
      </c>
    </row>
    <row r="59">
      <c r="A59" t="inlineStr">
        <is>
          <t>Kinetic Parameters (AOB and NOB)</t>
        </is>
      </c>
      <c r="B59" t="inlineStr">
        <is>
          <t>b_AOB</t>
        </is>
      </c>
      <c r="C59" t="inlineStr">
        <is>
          <t>b_AOB</t>
        </is>
      </c>
      <c r="D59" t="inlineStr">
        <is>
          <t>Decay rate of AOB</t>
        </is>
      </c>
      <c r="E59" s="4" t="n">
        <v>0.15</v>
      </c>
      <c r="F59" t="inlineStr">
        <is>
          <t>d^-1</t>
        </is>
      </c>
    </row>
    <row r="60">
      <c r="A60" t="inlineStr">
        <is>
          <t>Kinetic Parameters (AOB and NOB)</t>
        </is>
      </c>
      <c r="B60" t="inlineStr">
        <is>
          <t>b_NOB</t>
        </is>
      </c>
      <c r="C60" t="inlineStr">
        <is>
          <t>b_NOB</t>
        </is>
      </c>
      <c r="D60" t="inlineStr">
        <is>
          <t>Decay rate of NOB</t>
        </is>
      </c>
      <c r="E60" s="4" t="n">
        <v>0.15</v>
      </c>
      <c r="F60" t="inlineStr">
        <is>
          <t>d^-1</t>
        </is>
      </c>
    </row>
    <row r="61">
      <c r="A61" t="inlineStr">
        <is>
          <t>Kinetic Parameters (AOB and NOB)</t>
        </is>
      </c>
      <c r="B61" t="inlineStr">
        <is>
          <t>K_O2_AOB</t>
        </is>
      </c>
      <c r="C61" t="inlineStr">
        <is>
          <t>K_O2_AOB</t>
        </is>
      </c>
      <c r="D61" t="inlineStr">
        <is>
          <t>Half-saturation constant for oxygen of AOB</t>
        </is>
      </c>
      <c r="E61" s="4" t="n">
        <v>0.5</v>
      </c>
      <c r="F61" t="inlineStr">
        <is>
          <t>g O2/m^3</t>
        </is>
      </c>
    </row>
    <row r="62">
      <c r="A62" t="inlineStr">
        <is>
          <t>Kinetic Parameters (AOB and NOB)</t>
        </is>
      </c>
      <c r="B62" t="inlineStr">
        <is>
          <t>K_O2_NOB</t>
        </is>
      </c>
      <c r="C62" t="inlineStr">
        <is>
          <t>K_O2_NOB</t>
        </is>
      </c>
      <c r="D62" t="inlineStr">
        <is>
          <t>Half-saturation constant for oxygen of NOB</t>
        </is>
      </c>
      <c r="E62" s="4" t="n">
        <v>0.5</v>
      </c>
      <c r="F62" t="inlineStr">
        <is>
          <t>g O2/m^3</t>
        </is>
      </c>
    </row>
    <row r="63">
      <c r="A63" t="inlineStr">
        <is>
          <t>Kinetic Parameters (AOB and NOB)</t>
        </is>
      </c>
      <c r="B63" t="inlineStr">
        <is>
          <t>K_NH4_AOB</t>
        </is>
      </c>
      <c r="C63" t="inlineStr">
        <is>
          <t>K_NH4_AOB</t>
        </is>
      </c>
      <c r="D63" t="inlineStr">
        <is>
          <t>Half-saturation constant for ammonium of AOB</t>
        </is>
      </c>
      <c r="E63" s="4" t="n">
        <v>1</v>
      </c>
      <c r="F63" t="inlineStr">
        <is>
          <t>g N/m^3</t>
        </is>
      </c>
    </row>
    <row r="64">
      <c r="A64" t="inlineStr">
        <is>
          <t>Kinetic Parameters (AOB and NOB)</t>
        </is>
      </c>
      <c r="B64" t="inlineStr">
        <is>
          <t>K_NO2_NOB</t>
        </is>
      </c>
      <c r="C64" t="inlineStr">
        <is>
          <t>K_NO2_NOB</t>
        </is>
      </c>
      <c r="D64" t="inlineStr">
        <is>
          <t>Half-saturation constant for nitrite of NOB</t>
        </is>
      </c>
      <c r="E64" s="4" t="n">
        <v>0.3</v>
      </c>
      <c r="F64" t="inlineStr">
        <is>
          <t>g N/m^3</t>
        </is>
      </c>
    </row>
    <row r="65">
      <c r="A65" s="2" t="inlineStr">
        <is>
          <t>Precipitation Parameters</t>
        </is>
      </c>
      <c r="B65" s="2" t="inlineStr">
        <is>
          <t>k_PRE</t>
        </is>
      </c>
      <c r="C65" s="2" t="inlineStr">
        <is>
          <t>k_PRE</t>
        </is>
      </c>
      <c r="D65" s="2" t="inlineStr">
        <is>
          <t>Rate constant for P precipitation</t>
        </is>
      </c>
      <c r="E65" s="3" t="n">
        <v>1</v>
      </c>
      <c r="F65" s="2" t="inlineStr">
        <is>
          <t>m^3/(g Fe(OH)3*d)</t>
        </is>
      </c>
    </row>
    <row r="66">
      <c r="A66" t="inlineStr">
        <is>
          <t>Precipitation Parameters</t>
        </is>
      </c>
      <c r="B66" t="inlineStr">
        <is>
          <t>k_RED</t>
        </is>
      </c>
      <c r="C66" t="inlineStr">
        <is>
          <t>k_RED</t>
        </is>
      </c>
      <c r="D66" t="inlineStr">
        <is>
          <t>Rate constant for redissolution</t>
        </is>
      </c>
      <c r="E66" s="4" t="n">
        <v>0.6</v>
      </c>
      <c r="F66" t="inlineStr">
        <is>
          <t>d^-1</t>
        </is>
      </c>
    </row>
  </sheetData>
  <autoFilter ref="A1:F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2026-03-29T16:44:38Z</dcterms:created>
  <dcterms:modified xsi:type="dcterms:W3CDTF">2026-03-29T16:44:38Z</dcterms:modified>
</cp:coreProperties>
</file>